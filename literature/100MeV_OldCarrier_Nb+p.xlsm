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s\School Work\Isotope Data\mcnp_runs\JanIPF\"/>
    </mc:Choice>
  </mc:AlternateContent>
  <bookViews>
    <workbookView xWindow="4815" yWindow="1605" windowWidth="0" windowHeight="20940" activeTab="1"/>
  </bookViews>
  <sheets>
    <sheet name="Thick Water" sheetId="20" r:id="rId1"/>
    <sheet name="Sheet1" sheetId="21" r:id="rId2"/>
    <sheet name="Stopping Power" sheetId="7" r:id="rId3"/>
    <sheet name="Compounds" sheetId="8" r:id="rId4"/>
    <sheet name="Ziegler Data" sheetId="3" r:id="rId5"/>
  </sheets>
  <functionGroups builtInGroupCount="18"/>
  <definedNames>
    <definedName name="Ah">'Ziegler Data'!$B$11:$P$102</definedName>
    <definedName name="BGHe">'Ziegler Data'!$AA$11:$AE$102</definedName>
    <definedName name="BHe">'Ziegler Data'!$R$11:$Z$102</definedName>
    <definedName name="CIpot">'Ziegler Data'!$AF$11:$AG$102</definedName>
    <definedName name="Compound">Compounds!$B$11:$X$160</definedName>
    <definedName name="Element">Compounds!$A$11:$E$160</definedName>
    <definedName name="Gas">'Stopping Power'!$B$5</definedName>
    <definedName name="Hcoeff">'Ziegler Data'!$A$11:$Q$102</definedName>
    <definedName name="Mproj1">#REF!</definedName>
    <definedName name="Mproj2">'Stopping Power'!$B$4</definedName>
    <definedName name="Precision1">#REF!</definedName>
    <definedName name="Precision2">'Stopping Power'!$D$2</definedName>
    <definedName name="_xlnm.Print_Area" localSheetId="0">'Thick Water'!$A$1:$L$72</definedName>
    <definedName name="TargetID2">'Stopping Power'!$B$2</definedName>
    <definedName name="Thickness2">'Stopping Power'!$D$1</definedName>
    <definedName name="Zproj1">#REF!</definedName>
    <definedName name="Zproj2">'Stopping Power'!$B$3</definedName>
  </definedNames>
  <calcPr calcId="162913"/>
</workbook>
</file>

<file path=xl/calcChain.xml><?xml version="1.0" encoding="utf-8"?>
<calcChain xmlns="http://schemas.openxmlformats.org/spreadsheetml/2006/main">
  <c r="D126" i="21" l="1"/>
  <c r="D127" i="21"/>
  <c r="D128" i="21"/>
  <c r="D129" i="21"/>
  <c r="D130" i="21"/>
  <c r="D131" i="21"/>
  <c r="D132" i="21"/>
  <c r="D133" i="21"/>
  <c r="D134" i="21"/>
  <c r="D135" i="21"/>
  <c r="D136" i="21"/>
  <c r="D137" i="21"/>
  <c r="D138" i="21"/>
  <c r="D139" i="21"/>
  <c r="D140" i="21"/>
  <c r="D141" i="21"/>
  <c r="D142" i="21"/>
  <c r="D125" i="21"/>
  <c r="Q4" i="21"/>
  <c r="Q5" i="21"/>
  <c r="Q6" i="21"/>
  <c r="Q7" i="21"/>
  <c r="Q8" i="21"/>
  <c r="Q9" i="21"/>
  <c r="Q10" i="21"/>
  <c r="Q11" i="21"/>
  <c r="Q12" i="21"/>
  <c r="Q13" i="21"/>
  <c r="Q14" i="21"/>
  <c r="Q15" i="21"/>
  <c r="Q16" i="21"/>
  <c r="Q17" i="21"/>
  <c r="Q18" i="21"/>
  <c r="Q19" i="21"/>
  <c r="Q20" i="21"/>
  <c r="Q21" i="21"/>
  <c r="Q22" i="21"/>
  <c r="Q23" i="21"/>
  <c r="Q24" i="21"/>
  <c r="Q25" i="21"/>
  <c r="Q26" i="21"/>
  <c r="Q27" i="21"/>
  <c r="Q28" i="21"/>
  <c r="Q29" i="21"/>
  <c r="Q30" i="21"/>
  <c r="Q31" i="21"/>
  <c r="Q32" i="21"/>
  <c r="Q33" i="21"/>
  <c r="Q34" i="21"/>
  <c r="Q35" i="21"/>
  <c r="Q36" i="21"/>
  <c r="Q37" i="21"/>
  <c r="Q38" i="21"/>
  <c r="Q39" i="21"/>
  <c r="Q40" i="21"/>
  <c r="Q41" i="21"/>
  <c r="Q42" i="21"/>
  <c r="Q43" i="21"/>
  <c r="Q44" i="21"/>
  <c r="Q45" i="21"/>
  <c r="Q46" i="21"/>
  <c r="Q47" i="21"/>
  <c r="Q48" i="21"/>
  <c r="Q49" i="21"/>
  <c r="Q50" i="21"/>
  <c r="Q51" i="21"/>
  <c r="Q52" i="21"/>
  <c r="Q53" i="21"/>
  <c r="Q54" i="21"/>
  <c r="Q55" i="21"/>
  <c r="Q56" i="21"/>
  <c r="Q57" i="21"/>
  <c r="Q58" i="21"/>
  <c r="Q59" i="21"/>
  <c r="Q60" i="21"/>
  <c r="Q61" i="21"/>
  <c r="Q62" i="21"/>
  <c r="Q63" i="21"/>
  <c r="Q64" i="21"/>
  <c r="Q65" i="21"/>
  <c r="Q66" i="21"/>
  <c r="Q67" i="21"/>
  <c r="Q68" i="21"/>
  <c r="Q69" i="21"/>
  <c r="Q70" i="21"/>
  <c r="Q71" i="21"/>
  <c r="Q72" i="21"/>
  <c r="Q73" i="21"/>
  <c r="Q74" i="21"/>
  <c r="Q75" i="21"/>
  <c r="Q76" i="21"/>
  <c r="Q77" i="21"/>
  <c r="Q78" i="21"/>
  <c r="Q79" i="21"/>
  <c r="Q80" i="21"/>
  <c r="Q81" i="21"/>
  <c r="Q82" i="21"/>
  <c r="Q83" i="21"/>
  <c r="Q84" i="21"/>
  <c r="Q85" i="21"/>
  <c r="Q86" i="21"/>
  <c r="Q87" i="21"/>
  <c r="Q88" i="21"/>
  <c r="Q89" i="21"/>
  <c r="Q90" i="21"/>
  <c r="Q91" i="21"/>
  <c r="Q92" i="21"/>
  <c r="Q93" i="21"/>
  <c r="Q94" i="21"/>
  <c r="Q95" i="21"/>
  <c r="Q96" i="21"/>
  <c r="Q97" i="21"/>
  <c r="Q98" i="21"/>
  <c r="Q99" i="21"/>
  <c r="Q100" i="21"/>
  <c r="Q101" i="21"/>
  <c r="Q102" i="21"/>
  <c r="Q103" i="21"/>
  <c r="Q104" i="21"/>
  <c r="Q105" i="21"/>
  <c r="Q106" i="21"/>
  <c r="Q107" i="21"/>
  <c r="Q108" i="21"/>
  <c r="Q109" i="21"/>
  <c r="Q110" i="21"/>
  <c r="Q111" i="21"/>
  <c r="Q112" i="21"/>
  <c r="Q113" i="21"/>
  <c r="Q114" i="21"/>
  <c r="Q115" i="21"/>
  <c r="Q116" i="21"/>
  <c r="Q117" i="21"/>
  <c r="Q118" i="21"/>
  <c r="Q119" i="21"/>
  <c r="Q120" i="21"/>
  <c r="Q3" i="21"/>
  <c r="O4" i="21"/>
  <c r="O5" i="21"/>
  <c r="O6" i="21"/>
  <c r="O7" i="21"/>
  <c r="O8" i="21"/>
  <c r="O9" i="21"/>
  <c r="O10" i="21"/>
  <c r="O11" i="21"/>
  <c r="O12" i="21"/>
  <c r="O13" i="21"/>
  <c r="O14" i="21"/>
  <c r="O15" i="21"/>
  <c r="O16" i="21"/>
  <c r="O17" i="21"/>
  <c r="O18" i="21"/>
  <c r="O19" i="21"/>
  <c r="O20" i="21"/>
  <c r="O21" i="21"/>
  <c r="O22" i="21"/>
  <c r="O23" i="21"/>
  <c r="O24" i="21"/>
  <c r="O25" i="21"/>
  <c r="O26" i="21"/>
  <c r="O27" i="21"/>
  <c r="O28" i="21"/>
  <c r="O29" i="21"/>
  <c r="O30" i="21"/>
  <c r="O31" i="21"/>
  <c r="O32" i="21"/>
  <c r="O33" i="21"/>
  <c r="O34" i="21"/>
  <c r="O35" i="21"/>
  <c r="O36" i="21"/>
  <c r="O37" i="21"/>
  <c r="O38" i="21"/>
  <c r="O39" i="21"/>
  <c r="O40" i="21"/>
  <c r="O41" i="21"/>
  <c r="O42" i="21"/>
  <c r="O43" i="21"/>
  <c r="O44" i="21"/>
  <c r="O45" i="21"/>
  <c r="O46" i="21"/>
  <c r="O47" i="21"/>
  <c r="O48" i="21"/>
  <c r="O49" i="21"/>
  <c r="O50" i="21"/>
  <c r="O51" i="21"/>
  <c r="O52" i="21"/>
  <c r="O53" i="21"/>
  <c r="O54" i="21"/>
  <c r="O55" i="21"/>
  <c r="O56" i="21"/>
  <c r="O57" i="21"/>
  <c r="O58" i="21"/>
  <c r="O59" i="21"/>
  <c r="O60" i="21"/>
  <c r="O61" i="21"/>
  <c r="O62" i="21"/>
  <c r="O63" i="21"/>
  <c r="O64" i="21"/>
  <c r="O65" i="21"/>
  <c r="O66" i="21"/>
  <c r="O67" i="21"/>
  <c r="O68" i="21"/>
  <c r="O69" i="21"/>
  <c r="O70" i="21"/>
  <c r="O71" i="21"/>
  <c r="O72" i="21"/>
  <c r="O73" i="21"/>
  <c r="O74" i="21"/>
  <c r="O75" i="21"/>
  <c r="O76" i="21"/>
  <c r="O77" i="21"/>
  <c r="O78" i="21"/>
  <c r="O79" i="21"/>
  <c r="O80" i="21"/>
  <c r="O81" i="21"/>
  <c r="O82" i="21"/>
  <c r="O83" i="21"/>
  <c r="O84" i="21"/>
  <c r="O85" i="21"/>
  <c r="O86" i="21"/>
  <c r="O87" i="21"/>
  <c r="O88" i="21"/>
  <c r="O89" i="21"/>
  <c r="O90" i="21"/>
  <c r="O91" i="21"/>
  <c r="O92" i="21"/>
  <c r="O93" i="21"/>
  <c r="O94" i="21"/>
  <c r="O95" i="21"/>
  <c r="O96" i="21"/>
  <c r="O97" i="21"/>
  <c r="O98" i="21"/>
  <c r="O99" i="21"/>
  <c r="O100" i="21"/>
  <c r="O101" i="21"/>
  <c r="O102" i="21"/>
  <c r="O103" i="21"/>
  <c r="O104" i="21"/>
  <c r="O105" i="21"/>
  <c r="O106" i="21"/>
  <c r="O107" i="21"/>
  <c r="O108" i="21"/>
  <c r="O109" i="21"/>
  <c r="O110" i="21"/>
  <c r="O111" i="21"/>
  <c r="O112" i="21"/>
  <c r="O113" i="21"/>
  <c r="O114" i="21"/>
  <c r="O115" i="21"/>
  <c r="O116" i="21"/>
  <c r="O117" i="21"/>
  <c r="O118" i="21"/>
  <c r="O119" i="21"/>
  <c r="O120" i="21"/>
  <c r="O121" i="21"/>
  <c r="O3" i="21"/>
  <c r="M5" i="21"/>
  <c r="M6" i="21"/>
  <c r="M7" i="21"/>
  <c r="M8" i="21" s="1"/>
  <c r="M9" i="21" s="1"/>
  <c r="M10" i="21" s="1"/>
  <c r="M11" i="21" s="1"/>
  <c r="M12" i="21" s="1"/>
  <c r="M13" i="21" s="1"/>
  <c r="M14" i="21" s="1"/>
  <c r="M15" i="21" s="1"/>
  <c r="M16" i="21" s="1"/>
  <c r="M17" i="21" s="1"/>
  <c r="M18" i="21" s="1"/>
  <c r="M19" i="21" s="1"/>
  <c r="M20" i="21" s="1"/>
  <c r="M21" i="21" s="1"/>
  <c r="M22" i="21" s="1"/>
  <c r="M23" i="21" s="1"/>
  <c r="M24" i="21" s="1"/>
  <c r="M25" i="21" s="1"/>
  <c r="M26" i="21" s="1"/>
  <c r="M27" i="21" s="1"/>
  <c r="M28" i="21" s="1"/>
  <c r="M29" i="21" s="1"/>
  <c r="M30" i="21" s="1"/>
  <c r="M31" i="21" s="1"/>
  <c r="M32" i="21" s="1"/>
  <c r="M33" i="21" s="1"/>
  <c r="M34" i="21" s="1"/>
  <c r="M35" i="21" s="1"/>
  <c r="M36" i="21" s="1"/>
  <c r="M37" i="21" s="1"/>
  <c r="M38" i="21" s="1"/>
  <c r="M39" i="21" s="1"/>
  <c r="M40" i="21" s="1"/>
  <c r="M41" i="21" s="1"/>
  <c r="M42" i="21" s="1"/>
  <c r="M43" i="21" s="1"/>
  <c r="M44" i="21" s="1"/>
  <c r="M45" i="21" s="1"/>
  <c r="M46" i="21" s="1"/>
  <c r="M47" i="21" s="1"/>
  <c r="M48" i="21" s="1"/>
  <c r="M49" i="21" s="1"/>
  <c r="M50" i="21" s="1"/>
  <c r="M51" i="21" s="1"/>
  <c r="M52" i="21" s="1"/>
  <c r="M53" i="21" s="1"/>
  <c r="M54" i="21" s="1"/>
  <c r="M55" i="21" s="1"/>
  <c r="M56" i="21" s="1"/>
  <c r="M57" i="21" s="1"/>
  <c r="M58" i="21" s="1"/>
  <c r="M59" i="21" s="1"/>
  <c r="M60" i="21" s="1"/>
  <c r="M61" i="21" s="1"/>
  <c r="M62" i="21" s="1"/>
  <c r="M63" i="21" s="1"/>
  <c r="M64" i="21" s="1"/>
  <c r="M65" i="21" s="1"/>
  <c r="M66" i="21" s="1"/>
  <c r="M67" i="21" s="1"/>
  <c r="M68" i="21" s="1"/>
  <c r="M69" i="21" s="1"/>
  <c r="M70" i="21" s="1"/>
  <c r="M71" i="21" s="1"/>
  <c r="M72" i="21" s="1"/>
  <c r="M73" i="21" s="1"/>
  <c r="M74" i="21" s="1"/>
  <c r="M75" i="21" s="1"/>
  <c r="M76" i="21" s="1"/>
  <c r="M77" i="21" s="1"/>
  <c r="M78" i="21" s="1"/>
  <c r="M79" i="21" s="1"/>
  <c r="M80" i="21" s="1"/>
  <c r="M81" i="21" s="1"/>
  <c r="M82" i="21" s="1"/>
  <c r="M83" i="21" s="1"/>
  <c r="M84" i="21" s="1"/>
  <c r="M85" i="21" s="1"/>
  <c r="M86" i="21" s="1"/>
  <c r="M87" i="21" s="1"/>
  <c r="M88" i="21" s="1"/>
  <c r="M89" i="21" s="1"/>
  <c r="M90" i="21" s="1"/>
  <c r="M91" i="21" s="1"/>
  <c r="M92" i="21" s="1"/>
  <c r="M93" i="21" s="1"/>
  <c r="M94" i="21" s="1"/>
  <c r="M95" i="21" s="1"/>
  <c r="M96" i="21" s="1"/>
  <c r="M97" i="21" s="1"/>
  <c r="M98" i="21" s="1"/>
  <c r="M99" i="21" s="1"/>
  <c r="M100" i="21" s="1"/>
  <c r="M101" i="21" s="1"/>
  <c r="M102" i="21" s="1"/>
  <c r="M103" i="21" s="1"/>
  <c r="M104" i="21" s="1"/>
  <c r="M105" i="21" s="1"/>
  <c r="M106" i="21" s="1"/>
  <c r="M107" i="21" s="1"/>
  <c r="M108" i="21" s="1"/>
  <c r="M109" i="21" s="1"/>
  <c r="M110" i="21" s="1"/>
  <c r="M111" i="21" s="1"/>
  <c r="M112" i="21" s="1"/>
  <c r="M113" i="21" s="1"/>
  <c r="M114" i="21" s="1"/>
  <c r="M115" i="21" s="1"/>
  <c r="M116" i="21" s="1"/>
  <c r="M117" i="21" s="1"/>
  <c r="M118" i="21" s="1"/>
  <c r="M119" i="21" s="1"/>
  <c r="M120" i="21" s="1"/>
  <c r="M121" i="21" s="1"/>
  <c r="M4" i="21"/>
  <c r="D108" i="21"/>
  <c r="D114" i="21"/>
  <c r="D120" i="21"/>
  <c r="D101" i="21"/>
  <c r="D95" i="21"/>
  <c r="D89" i="21"/>
  <c r="D82" i="21"/>
  <c r="D76" i="21"/>
  <c r="D70" i="21"/>
  <c r="D63" i="21"/>
  <c r="D57" i="21"/>
  <c r="D51" i="21"/>
  <c r="D44" i="21"/>
  <c r="D38" i="21"/>
  <c r="D32" i="21"/>
  <c r="D25" i="21"/>
  <c r="D19" i="21"/>
  <c r="D13" i="21"/>
  <c r="I117" i="21"/>
  <c r="I111" i="21"/>
  <c r="I105" i="21"/>
  <c r="I98" i="21"/>
  <c r="I92" i="21"/>
  <c r="I86" i="21"/>
  <c r="I79" i="21"/>
  <c r="I73" i="21"/>
  <c r="I67" i="21"/>
  <c r="I60" i="21"/>
  <c r="I54" i="21"/>
  <c r="I48" i="21"/>
  <c r="I41" i="21"/>
  <c r="I35" i="21"/>
  <c r="I29" i="21"/>
  <c r="I22" i="21"/>
  <c r="I16" i="21"/>
  <c r="I10" i="21"/>
  <c r="I7" i="21"/>
  <c r="I120" i="21"/>
  <c r="H120" i="21"/>
  <c r="E120" i="21"/>
  <c r="C120" i="21"/>
  <c r="H114" i="21"/>
  <c r="E114" i="21"/>
  <c r="I108" i="21"/>
  <c r="H108" i="21"/>
  <c r="E108" i="21"/>
  <c r="H101" i="21"/>
  <c r="E101" i="21"/>
  <c r="I95" i="21"/>
  <c r="H95" i="21"/>
  <c r="E95" i="21"/>
  <c r="H89" i="21"/>
  <c r="E89" i="21"/>
  <c r="H82" i="21"/>
  <c r="E82" i="21"/>
  <c r="I76" i="21"/>
  <c r="H76" i="21"/>
  <c r="E76" i="21"/>
  <c r="I70" i="21"/>
  <c r="H70" i="21"/>
  <c r="E70" i="21"/>
  <c r="H63" i="21"/>
  <c r="E63" i="21"/>
  <c r="I57" i="21"/>
  <c r="H57" i="21"/>
  <c r="E57" i="21"/>
  <c r="H51" i="21"/>
  <c r="E51" i="21"/>
  <c r="I44" i="21"/>
  <c r="H44" i="21"/>
  <c r="E44" i="21"/>
  <c r="H38" i="21"/>
  <c r="E38" i="21"/>
  <c r="H32" i="21"/>
  <c r="E32" i="21"/>
  <c r="I25" i="21"/>
  <c r="H25" i="21"/>
  <c r="E25" i="21"/>
  <c r="I19" i="21"/>
  <c r="H19" i="21"/>
  <c r="E19" i="21"/>
  <c r="L1" i="21"/>
  <c r="I5" i="21"/>
  <c r="I6" i="21"/>
  <c r="I8" i="21"/>
  <c r="I9" i="21"/>
  <c r="I11" i="21"/>
  <c r="I12" i="21"/>
  <c r="I13" i="21"/>
  <c r="I114" i="21" s="1"/>
  <c r="I15" i="21"/>
  <c r="I17" i="21"/>
  <c r="I20" i="21"/>
  <c r="I21" i="21"/>
  <c r="I23" i="21"/>
  <c r="I24" i="21"/>
  <c r="I26" i="21"/>
  <c r="I27" i="21"/>
  <c r="I28" i="21"/>
  <c r="I30" i="21"/>
  <c r="I31" i="21"/>
  <c r="I33" i="21"/>
  <c r="I34" i="21"/>
  <c r="I36" i="21"/>
  <c r="I37" i="21"/>
  <c r="I39" i="21"/>
  <c r="I40" i="21"/>
  <c r="I42" i="21"/>
  <c r="I43" i="21"/>
  <c r="I45" i="21"/>
  <c r="I46" i="21"/>
  <c r="I47" i="21"/>
  <c r="I49" i="21"/>
  <c r="I50" i="21"/>
  <c r="I53" i="21"/>
  <c r="I55" i="21"/>
  <c r="I58" i="21"/>
  <c r="I59" i="21"/>
  <c r="I61" i="21"/>
  <c r="I62" i="21"/>
  <c r="I64" i="21"/>
  <c r="I65" i="21"/>
  <c r="I66" i="21"/>
  <c r="I68" i="21"/>
  <c r="I69" i="21"/>
  <c r="I71" i="21"/>
  <c r="I72" i="21"/>
  <c r="I74" i="21"/>
  <c r="I75" i="21"/>
  <c r="I77" i="21"/>
  <c r="I78" i="21"/>
  <c r="I80" i="21"/>
  <c r="I81" i="21"/>
  <c r="I83" i="21"/>
  <c r="I84" i="21"/>
  <c r="I85" i="21"/>
  <c r="I87" i="21"/>
  <c r="I88" i="21"/>
  <c r="I91" i="21"/>
  <c r="I93" i="21"/>
  <c r="I96" i="21"/>
  <c r="I97" i="21"/>
  <c r="I99" i="21"/>
  <c r="I100" i="21"/>
  <c r="I102" i="21"/>
  <c r="I103" i="21"/>
  <c r="I104" i="21"/>
  <c r="I106" i="21"/>
  <c r="I107" i="21"/>
  <c r="I109" i="21"/>
  <c r="I110" i="21"/>
  <c r="I112" i="21"/>
  <c r="I113" i="21"/>
  <c r="I115" i="21"/>
  <c r="I116" i="21"/>
  <c r="I118" i="21"/>
  <c r="I119" i="21"/>
  <c r="H13" i="21"/>
  <c r="C13" i="21"/>
  <c r="C89" i="21" s="1"/>
  <c r="I4" i="21"/>
  <c r="H118" i="21"/>
  <c r="E118" i="21"/>
  <c r="D118" i="21"/>
  <c r="H116" i="21"/>
  <c r="E116" i="21"/>
  <c r="D116" i="21"/>
  <c r="H112" i="21"/>
  <c r="E112" i="21"/>
  <c r="D112" i="21"/>
  <c r="H110" i="21"/>
  <c r="E110" i="21"/>
  <c r="D110" i="21"/>
  <c r="H106" i="21"/>
  <c r="E106" i="21"/>
  <c r="D106" i="21"/>
  <c r="H104" i="21"/>
  <c r="E104" i="21"/>
  <c r="D104" i="21"/>
  <c r="H99" i="21"/>
  <c r="E99" i="21"/>
  <c r="D99" i="21"/>
  <c r="H97" i="21"/>
  <c r="E97" i="21"/>
  <c r="D97" i="21"/>
  <c r="H93" i="21"/>
  <c r="E93" i="21"/>
  <c r="D93" i="21"/>
  <c r="H91" i="21"/>
  <c r="E91" i="21"/>
  <c r="D91" i="21"/>
  <c r="H87" i="21"/>
  <c r="E87" i="21"/>
  <c r="D87" i="21"/>
  <c r="H85" i="21"/>
  <c r="E85" i="21"/>
  <c r="D85" i="21"/>
  <c r="H80" i="21"/>
  <c r="E80" i="21"/>
  <c r="D80" i="21"/>
  <c r="H78" i="21"/>
  <c r="E78" i="21"/>
  <c r="D78" i="21"/>
  <c r="H74" i="21"/>
  <c r="E74" i="21"/>
  <c r="D74" i="21"/>
  <c r="H72" i="21"/>
  <c r="E72" i="21"/>
  <c r="D72" i="21"/>
  <c r="H68" i="21"/>
  <c r="E68" i="21"/>
  <c r="D68" i="21"/>
  <c r="H66" i="21"/>
  <c r="E66" i="21"/>
  <c r="D66" i="21"/>
  <c r="H61" i="21"/>
  <c r="E61" i="21"/>
  <c r="D61" i="21"/>
  <c r="H59" i="21"/>
  <c r="E59" i="21"/>
  <c r="D59" i="21"/>
  <c r="H55" i="21"/>
  <c r="E55" i="21"/>
  <c r="D55" i="21"/>
  <c r="H53" i="21"/>
  <c r="E53" i="21"/>
  <c r="D53" i="21"/>
  <c r="H49" i="21"/>
  <c r="E49" i="21"/>
  <c r="D49" i="21"/>
  <c r="H47" i="21"/>
  <c r="E47" i="21"/>
  <c r="D47" i="21"/>
  <c r="H42" i="21"/>
  <c r="E42" i="21"/>
  <c r="D42" i="21"/>
  <c r="H40" i="21"/>
  <c r="E40" i="21"/>
  <c r="D40" i="21"/>
  <c r="H36" i="21"/>
  <c r="E36" i="21"/>
  <c r="D36" i="21"/>
  <c r="H34" i="21"/>
  <c r="E34" i="21"/>
  <c r="D34" i="21"/>
  <c r="H30" i="21"/>
  <c r="E30" i="21"/>
  <c r="D30" i="21"/>
  <c r="H28" i="21"/>
  <c r="E28" i="21"/>
  <c r="D28" i="21"/>
  <c r="H23" i="21"/>
  <c r="E23" i="21"/>
  <c r="D23" i="21"/>
  <c r="H21" i="21"/>
  <c r="E21" i="21"/>
  <c r="D21" i="21"/>
  <c r="H17" i="21"/>
  <c r="E17" i="21"/>
  <c r="D17" i="21"/>
  <c r="H15" i="21"/>
  <c r="E15" i="21"/>
  <c r="D15" i="21"/>
  <c r="H11" i="21"/>
  <c r="E11" i="21"/>
  <c r="D11" i="21"/>
  <c r="H9" i="21"/>
  <c r="C9" i="21"/>
  <c r="C19" i="21" l="1"/>
  <c r="C101" i="21"/>
  <c r="C32" i="21"/>
  <c r="C82" i="21"/>
  <c r="I38" i="21"/>
  <c r="C63" i="21"/>
  <c r="I89" i="21"/>
  <c r="C114" i="21"/>
  <c r="C44" i="21"/>
  <c r="C95" i="21"/>
  <c r="C25" i="21"/>
  <c r="I51" i="21"/>
  <c r="C76" i="21"/>
  <c r="I101" i="21"/>
  <c r="C70" i="21"/>
  <c r="C51" i="21"/>
  <c r="I32" i="21"/>
  <c r="C57" i="21"/>
  <c r="I82" i="21"/>
  <c r="C108" i="21"/>
  <c r="C38" i="21"/>
  <c r="I63" i="21"/>
  <c r="H121" i="21"/>
  <c r="I121" i="21" s="1"/>
  <c r="D5" i="21"/>
  <c r="C121" i="21"/>
  <c r="H119" i="21"/>
  <c r="C119" i="21"/>
  <c r="H117" i="21"/>
  <c r="C117" i="21"/>
  <c r="H115" i="21"/>
  <c r="C115" i="21"/>
  <c r="H113" i="21"/>
  <c r="C113" i="21"/>
  <c r="H111" i="21"/>
  <c r="C111" i="21"/>
  <c r="H109" i="21"/>
  <c r="C109" i="21"/>
  <c r="H107" i="21"/>
  <c r="C107" i="21"/>
  <c r="H105" i="21"/>
  <c r="H103" i="21"/>
  <c r="C103" i="21"/>
  <c r="H102" i="21"/>
  <c r="C102" i="21"/>
  <c r="H100" i="21"/>
  <c r="C100" i="21"/>
  <c r="H98" i="21"/>
  <c r="C98" i="21"/>
  <c r="H96" i="21"/>
  <c r="C96" i="21"/>
  <c r="H94" i="21"/>
  <c r="I94" i="21" s="1"/>
  <c r="C94" i="21"/>
  <c r="H92" i="21"/>
  <c r="C92" i="21"/>
  <c r="H90" i="21"/>
  <c r="I90" i="21" s="1"/>
  <c r="C90" i="21"/>
  <c r="H88" i="21"/>
  <c r="C88" i="21"/>
  <c r="H86" i="21"/>
  <c r="H84" i="21"/>
  <c r="C84" i="21"/>
  <c r="H83" i="21"/>
  <c r="C83" i="21"/>
  <c r="H81" i="21"/>
  <c r="C81" i="21"/>
  <c r="H79" i="21"/>
  <c r="C79" i="21"/>
  <c r="H77" i="21"/>
  <c r="C77" i="21"/>
  <c r="H75" i="21"/>
  <c r="C75" i="21"/>
  <c r="H73" i="21"/>
  <c r="C73" i="21"/>
  <c r="H71" i="21"/>
  <c r="C71" i="21"/>
  <c r="H69" i="21"/>
  <c r="C69" i="21"/>
  <c r="H67" i="21"/>
  <c r="H65" i="21"/>
  <c r="C65" i="21"/>
  <c r="H64" i="21"/>
  <c r="C64" i="21"/>
  <c r="H62" i="21"/>
  <c r="C62" i="21"/>
  <c r="H60" i="21"/>
  <c r="C60" i="21"/>
  <c r="H58" i="21"/>
  <c r="C58" i="21"/>
  <c r="H56" i="21"/>
  <c r="I56" i="21" s="1"/>
  <c r="C56" i="21"/>
  <c r="H54" i="21"/>
  <c r="C54" i="21"/>
  <c r="H52" i="21"/>
  <c r="I52" i="21" s="1"/>
  <c r="C52" i="21"/>
  <c r="H50" i="21"/>
  <c r="C50" i="21"/>
  <c r="H48" i="21"/>
  <c r="H46" i="21"/>
  <c r="C46" i="21"/>
  <c r="H45" i="21"/>
  <c r="C45" i="21"/>
  <c r="H43" i="21"/>
  <c r="C43" i="21"/>
  <c r="H41" i="21"/>
  <c r="C41" i="21"/>
  <c r="H39" i="21"/>
  <c r="C39" i="21"/>
  <c r="H37" i="21"/>
  <c r="C37" i="21"/>
  <c r="H35" i="21"/>
  <c r="C35" i="21"/>
  <c r="H33" i="21"/>
  <c r="C33" i="21"/>
  <c r="H31" i="21"/>
  <c r="C31" i="21"/>
  <c r="H29" i="21"/>
  <c r="H27" i="21"/>
  <c r="C27" i="21"/>
  <c r="H26" i="21"/>
  <c r="C26" i="21"/>
  <c r="H24" i="21"/>
  <c r="C24" i="21"/>
  <c r="H22" i="21"/>
  <c r="C22" i="21"/>
  <c r="H20" i="21"/>
  <c r="C20" i="21"/>
  <c r="H18" i="21"/>
  <c r="I18" i="21" s="1"/>
  <c r="C18" i="21"/>
  <c r="H16" i="21"/>
  <c r="C16" i="21"/>
  <c r="H14" i="21"/>
  <c r="I14" i="21" s="1"/>
  <c r="C14" i="21"/>
  <c r="H12" i="21"/>
  <c r="C12" i="21"/>
  <c r="H10" i="21"/>
  <c r="H8" i="21"/>
  <c r="C8" i="21"/>
  <c r="H7" i="21"/>
  <c r="C7" i="21"/>
  <c r="H6" i="21"/>
  <c r="C6" i="21"/>
  <c r="H5" i="21"/>
  <c r="C5" i="21"/>
  <c r="H4" i="21"/>
  <c r="C4" i="21"/>
  <c r="E11" i="20"/>
  <c r="D11" i="20"/>
  <c r="E12" i="20"/>
  <c r="E13" i="20"/>
  <c r="E14" i="20"/>
  <c r="E15" i="20"/>
  <c r="E16" i="20"/>
  <c r="E20" i="20"/>
  <c r="E21" i="20"/>
  <c r="E22" i="20"/>
  <c r="E23" i="20"/>
  <c r="E24" i="20"/>
  <c r="E25" i="20"/>
  <c r="E26" i="20"/>
  <c r="E30" i="20"/>
  <c r="E31" i="20"/>
  <c r="E32" i="20"/>
  <c r="E33" i="20"/>
  <c r="E34" i="20"/>
  <c r="E35" i="20"/>
  <c r="E36" i="20"/>
  <c r="E40" i="20"/>
  <c r="E41" i="20"/>
  <c r="E42" i="20"/>
  <c r="E43" i="20"/>
  <c r="E44" i="20"/>
  <c r="E45" i="20"/>
  <c r="E46" i="20"/>
  <c r="E50" i="20"/>
  <c r="E51" i="20"/>
  <c r="E52" i="20"/>
  <c r="E53" i="20"/>
  <c r="E54" i="20"/>
  <c r="E55" i="20"/>
  <c r="E56" i="20"/>
  <c r="E60" i="20"/>
  <c r="E61" i="20"/>
  <c r="E62" i="20"/>
  <c r="E63" i="20"/>
  <c r="E64" i="20"/>
  <c r="E65" i="20"/>
  <c r="E66" i="20"/>
  <c r="E70" i="20"/>
  <c r="E71" i="20"/>
  <c r="E72" i="20"/>
  <c r="E73" i="20"/>
  <c r="C73" i="20"/>
  <c r="H73" i="20"/>
  <c r="J10" i="20"/>
  <c r="C10" i="20"/>
  <c r="D4" i="20"/>
  <c r="C11" i="20"/>
  <c r="C12" i="20"/>
  <c r="C13" i="20"/>
  <c r="C14" i="20"/>
  <c r="C16" i="20"/>
  <c r="C20" i="20"/>
  <c r="C21" i="20"/>
  <c r="C22" i="20"/>
  <c r="C23" i="20"/>
  <c r="C24" i="20"/>
  <c r="C26" i="20"/>
  <c r="C30" i="20"/>
  <c r="C31" i="20"/>
  <c r="C32" i="20"/>
  <c r="C33" i="20"/>
  <c r="C34" i="20"/>
  <c r="C36" i="20"/>
  <c r="C40" i="20"/>
  <c r="C41" i="20"/>
  <c r="C42" i="20"/>
  <c r="C43" i="20"/>
  <c r="C44" i="20"/>
  <c r="C46" i="20"/>
  <c r="C50" i="20"/>
  <c r="C51" i="20"/>
  <c r="C52" i="20"/>
  <c r="C53" i="20"/>
  <c r="C54" i="20"/>
  <c r="C56" i="20"/>
  <c r="C60" i="20"/>
  <c r="C61" i="20"/>
  <c r="C62" i="20"/>
  <c r="C63" i="20"/>
  <c r="C64" i="20"/>
  <c r="C66" i="20"/>
  <c r="C70" i="20"/>
  <c r="C71" i="20"/>
  <c r="N11" i="20"/>
  <c r="N12" i="20"/>
  <c r="N13" i="20"/>
  <c r="N14" i="20"/>
  <c r="N15" i="20"/>
  <c r="N16" i="20"/>
  <c r="N20" i="20"/>
  <c r="N21" i="20"/>
  <c r="N22" i="20"/>
  <c r="N23" i="20"/>
  <c r="N24" i="20"/>
  <c r="N25" i="20"/>
  <c r="N26" i="20"/>
  <c r="N30" i="20"/>
  <c r="N31" i="20"/>
  <c r="N32" i="20"/>
  <c r="N33" i="20"/>
  <c r="N34" i="20"/>
  <c r="N35" i="20"/>
  <c r="N36" i="20"/>
  <c r="N40" i="20"/>
  <c r="N41" i="20"/>
  <c r="N42" i="20"/>
  <c r="N43" i="20"/>
  <c r="N44" i="20"/>
  <c r="N45" i="20"/>
  <c r="N46" i="20"/>
  <c r="N50" i="20"/>
  <c r="N51" i="20"/>
  <c r="N52" i="20"/>
  <c r="N53" i="20"/>
  <c r="N54" i="20"/>
  <c r="N55" i="20"/>
  <c r="N56" i="20"/>
  <c r="N60" i="20"/>
  <c r="N61" i="20"/>
  <c r="N62" i="20"/>
  <c r="N63" i="20"/>
  <c r="N64" i="20"/>
  <c r="N65" i="20"/>
  <c r="N66" i="20"/>
  <c r="N70" i="20"/>
  <c r="N71" i="20"/>
  <c r="N72" i="20"/>
  <c r="C72" i="20"/>
  <c r="N67" i="20"/>
  <c r="N68" i="20"/>
  <c r="N69" i="20"/>
  <c r="O69" i="20"/>
  <c r="C67" i="20"/>
  <c r="C68" i="20"/>
  <c r="C69" i="20"/>
  <c r="H69" i="20"/>
  <c r="E67" i="20"/>
  <c r="E68" i="20"/>
  <c r="E69" i="20"/>
  <c r="O68" i="20"/>
  <c r="C39" i="8"/>
  <c r="H68" i="20"/>
  <c r="O67" i="20"/>
  <c r="H67" i="20"/>
  <c r="N57" i="20"/>
  <c r="N58" i="20"/>
  <c r="N59" i="20"/>
  <c r="O59" i="20"/>
  <c r="C57" i="20"/>
  <c r="C58" i="20"/>
  <c r="C59" i="20"/>
  <c r="H59" i="20"/>
  <c r="E57" i="20"/>
  <c r="E58" i="20"/>
  <c r="E59" i="20"/>
  <c r="O58" i="20"/>
  <c r="H58" i="20"/>
  <c r="O57" i="20"/>
  <c r="H57" i="20"/>
  <c r="N47" i="20"/>
  <c r="N48" i="20"/>
  <c r="N49" i="20"/>
  <c r="O49" i="20"/>
  <c r="C47" i="20"/>
  <c r="C48" i="20"/>
  <c r="C49" i="20"/>
  <c r="H49" i="20"/>
  <c r="E47" i="20"/>
  <c r="E48" i="20"/>
  <c r="E49" i="20"/>
  <c r="O48" i="20"/>
  <c r="H48" i="20"/>
  <c r="O47" i="20"/>
  <c r="H47" i="20"/>
  <c r="O63" i="20"/>
  <c r="O53" i="20"/>
  <c r="O43" i="20"/>
  <c r="N37" i="20"/>
  <c r="N38" i="20"/>
  <c r="N39" i="20"/>
  <c r="O39" i="20"/>
  <c r="O38" i="20"/>
  <c r="O37" i="20"/>
  <c r="O33" i="20"/>
  <c r="N27" i="20"/>
  <c r="N28" i="20"/>
  <c r="N29" i="20"/>
  <c r="O29" i="20"/>
  <c r="O28" i="20"/>
  <c r="O27" i="20"/>
  <c r="O23" i="20"/>
  <c r="N17" i="20"/>
  <c r="N18" i="20"/>
  <c r="N19" i="20"/>
  <c r="O19" i="20"/>
  <c r="O18" i="20"/>
  <c r="O17" i="20"/>
  <c r="C37" i="20"/>
  <c r="C38" i="20"/>
  <c r="C39" i="20"/>
  <c r="H39" i="20"/>
  <c r="E37" i="20"/>
  <c r="E38" i="20"/>
  <c r="E39" i="20"/>
  <c r="H38" i="20"/>
  <c r="H37" i="20"/>
  <c r="C27" i="20"/>
  <c r="C28" i="20"/>
  <c r="C17" i="20"/>
  <c r="C18" i="20"/>
  <c r="C29" i="20"/>
  <c r="H29" i="20"/>
  <c r="E27" i="20"/>
  <c r="E28" i="20"/>
  <c r="E29" i="20"/>
  <c r="H28" i="20"/>
  <c r="H27" i="20"/>
  <c r="C19" i="20"/>
  <c r="H19" i="20"/>
  <c r="H18" i="20"/>
  <c r="H17" i="20"/>
  <c r="E17" i="20"/>
  <c r="E18" i="20"/>
  <c r="E19" i="20"/>
  <c r="Q7" i="20"/>
  <c r="Q6" i="20"/>
  <c r="Q5" i="20"/>
  <c r="Q4" i="20"/>
  <c r="Q3" i="20"/>
  <c r="Q2" i="20"/>
  <c r="H60" i="20"/>
  <c r="C51" i="8"/>
  <c r="H61" i="20"/>
  <c r="H62" i="20"/>
  <c r="H63" i="20"/>
  <c r="H64" i="20"/>
  <c r="C23" i="8"/>
  <c r="H65" i="20"/>
  <c r="H66" i="20"/>
  <c r="H70" i="20"/>
  <c r="H71" i="20"/>
  <c r="H72" i="20"/>
  <c r="H16" i="20"/>
  <c r="H20" i="20"/>
  <c r="H21" i="20"/>
  <c r="H22" i="20"/>
  <c r="H23" i="20"/>
  <c r="H24" i="20"/>
  <c r="H25" i="20"/>
  <c r="H26" i="20"/>
  <c r="H30" i="20"/>
  <c r="H31" i="20"/>
  <c r="H32" i="20"/>
  <c r="H33" i="20"/>
  <c r="H34" i="20"/>
  <c r="H35" i="20"/>
  <c r="H36" i="20"/>
  <c r="H40" i="20"/>
  <c r="H41" i="20"/>
  <c r="H42" i="20"/>
  <c r="H43" i="20"/>
  <c r="H44" i="20"/>
  <c r="H45" i="20"/>
  <c r="H46" i="20"/>
  <c r="H50" i="20"/>
  <c r="H51" i="20"/>
  <c r="H52" i="20"/>
  <c r="H53" i="20"/>
  <c r="H54" i="20"/>
  <c r="H55" i="20"/>
  <c r="H56" i="20"/>
  <c r="H14" i="20"/>
  <c r="H15" i="20"/>
  <c r="H13" i="20"/>
  <c r="H12" i="20"/>
  <c r="H11" i="20"/>
  <c r="O13" i="20"/>
  <c r="O14" i="20"/>
  <c r="O15" i="20"/>
  <c r="O16" i="20"/>
  <c r="O20" i="20"/>
  <c r="O21" i="20"/>
  <c r="O22" i="20"/>
  <c r="O24" i="20"/>
  <c r="O25" i="20"/>
  <c r="O26" i="20"/>
  <c r="O30" i="20"/>
  <c r="O31" i="20"/>
  <c r="O32" i="20"/>
  <c r="O34" i="20"/>
  <c r="O35" i="20"/>
  <c r="O36" i="20"/>
  <c r="O40" i="20"/>
  <c r="O41" i="20"/>
  <c r="O42" i="20"/>
  <c r="O44" i="20"/>
  <c r="O45" i="20"/>
  <c r="O46" i="20"/>
  <c r="O50" i="20"/>
  <c r="O51" i="20"/>
  <c r="O52" i="20"/>
  <c r="O54" i="20"/>
  <c r="O55" i="20"/>
  <c r="O56" i="20"/>
  <c r="O60" i="20"/>
  <c r="O61" i="20"/>
  <c r="O62" i="20"/>
  <c r="O64" i="20"/>
  <c r="O65" i="20"/>
  <c r="O66" i="20"/>
  <c r="O70" i="20"/>
  <c r="O71" i="20"/>
  <c r="O72" i="20"/>
  <c r="O12" i="20"/>
  <c r="O11" i="20"/>
  <c r="O10" i="20"/>
  <c r="C100" i="8"/>
  <c r="H10" i="20"/>
  <c r="C11" i="8"/>
  <c r="C12" i="8"/>
  <c r="C13" i="8"/>
  <c r="C14" i="8"/>
  <c r="C15" i="8"/>
  <c r="C16" i="8"/>
  <c r="C17" i="8"/>
  <c r="C18" i="8"/>
  <c r="C19" i="8"/>
  <c r="C20" i="8"/>
  <c r="C21" i="8"/>
  <c r="C22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40" i="8"/>
  <c r="C41" i="8"/>
  <c r="C42" i="8"/>
  <c r="C43" i="8"/>
  <c r="C44" i="8"/>
  <c r="C45" i="8"/>
  <c r="C46" i="8"/>
  <c r="C47" i="8"/>
  <c r="C48" i="8"/>
  <c r="C49" i="8"/>
  <c r="C50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1" i="8"/>
  <c r="C102" i="8"/>
  <c r="B2" i="7"/>
  <c r="B4" i="7"/>
  <c r="A10" i="7"/>
  <c r="A11" i="7"/>
  <c r="F10" i="7"/>
  <c r="F11" i="7"/>
  <c r="F12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I11" i="20"/>
  <c r="I16" i="20"/>
  <c r="I43" i="20"/>
  <c r="I51" i="20"/>
  <c r="I56" i="20"/>
  <c r="I48" i="20"/>
  <c r="I18" i="20"/>
  <c r="I19" i="20"/>
  <c r="B28" i="7"/>
  <c r="G16" i="7"/>
  <c r="B24" i="7"/>
  <c r="B32" i="7"/>
  <c r="G10" i="7"/>
  <c r="D9" i="7"/>
  <c r="D18" i="7"/>
  <c r="G17" i="7"/>
  <c r="D11" i="7"/>
  <c r="D24" i="7"/>
  <c r="I24" i="20"/>
  <c r="I32" i="20"/>
  <c r="I40" i="20"/>
  <c r="I45" i="20"/>
  <c r="I64" i="20"/>
  <c r="I59" i="20"/>
  <c r="D22" i="7"/>
  <c r="G30" i="7"/>
  <c r="G24" i="7"/>
  <c r="B20" i="7"/>
  <c r="B33" i="7"/>
  <c r="I13" i="20"/>
  <c r="I21" i="20"/>
  <c r="I26" i="20"/>
  <c r="I53" i="20"/>
  <c r="I61" i="20"/>
  <c r="I66" i="20"/>
  <c r="I67" i="20"/>
  <c r="I37" i="20"/>
  <c r="G27" i="7"/>
  <c r="B29" i="7"/>
  <c r="B12" i="7"/>
  <c r="B22" i="7"/>
  <c r="D23" i="7"/>
  <c r="G33" i="7"/>
  <c r="B30" i="7"/>
  <c r="B17" i="7"/>
  <c r="D28" i="7"/>
  <c r="I10" i="20"/>
  <c r="I15" i="20"/>
  <c r="I34" i="20"/>
  <c r="I42" i="20"/>
  <c r="I50" i="20"/>
  <c r="I55" i="20"/>
  <c r="I72" i="20"/>
  <c r="I47" i="20"/>
  <c r="I17" i="20"/>
  <c r="G11" i="7"/>
  <c r="D32" i="7"/>
  <c r="G13" i="7"/>
  <c r="D31" i="7"/>
  <c r="D12" i="7"/>
  <c r="G25" i="7"/>
  <c r="D14" i="7"/>
  <c r="D19" i="7"/>
  <c r="D16" i="7"/>
  <c r="L10" i="20"/>
  <c r="I23" i="20"/>
  <c r="I31" i="20"/>
  <c r="I73" i="20"/>
  <c r="I33" i="20"/>
  <c r="I41" i="20"/>
  <c r="I46" i="20"/>
  <c r="I29" i="20"/>
  <c r="D10" i="7"/>
  <c r="I14" i="20"/>
  <c r="I22" i="20"/>
  <c r="I30" i="20"/>
  <c r="I35" i="20"/>
  <c r="I54" i="20"/>
  <c r="I62" i="20"/>
  <c r="I70" i="20"/>
  <c r="I68" i="20"/>
  <c r="I57" i="20"/>
  <c r="I38" i="20"/>
  <c r="I27" i="20"/>
  <c r="G19" i="7"/>
  <c r="B16" i="7"/>
  <c r="B13" i="7"/>
  <c r="G21" i="7"/>
  <c r="G32" i="7"/>
  <c r="D26" i="7"/>
  <c r="B23" i="7"/>
  <c r="G29" i="7"/>
  <c r="G28" i="7"/>
  <c r="G23" i="7"/>
  <c r="D27" i="7"/>
  <c r="D33" i="7"/>
  <c r="B25" i="7"/>
  <c r="B19" i="7"/>
  <c r="I12" i="20"/>
  <c r="D13" i="7"/>
  <c r="B31" i="7"/>
  <c r="G18" i="7"/>
  <c r="B15" i="7"/>
  <c r="B11" i="7"/>
  <c r="I36" i="20"/>
  <c r="I63" i="20"/>
  <c r="I39" i="20"/>
  <c r="D29" i="7"/>
  <c r="D25" i="7"/>
  <c r="G12" i="7"/>
  <c r="B9" i="7"/>
  <c r="B27" i="7"/>
  <c r="I20" i="20"/>
  <c r="B10" i="7"/>
  <c r="I44" i="20"/>
  <c r="I52" i="20"/>
  <c r="I28" i="20"/>
  <c r="G14" i="7"/>
  <c r="B26" i="7"/>
  <c r="G26" i="7"/>
  <c r="G15" i="7"/>
  <c r="I69" i="20"/>
  <c r="D17" i="7"/>
  <c r="D20" i="7"/>
  <c r="I65" i="20"/>
  <c r="D30" i="7"/>
  <c r="D15" i="7"/>
  <c r="I60" i="20"/>
  <c r="I71" i="20"/>
  <c r="I49" i="20"/>
  <c r="G9" i="7"/>
  <c r="G20" i="7"/>
  <c r="G31" i="7"/>
  <c r="G22" i="7"/>
  <c r="B14" i="7"/>
  <c r="B21" i="7"/>
  <c r="I25" i="20"/>
  <c r="B18" i="7"/>
  <c r="I58" i="20"/>
  <c r="D21" i="7"/>
  <c r="K10" i="20" l="1"/>
  <c r="J11" i="20" s="1"/>
  <c r="L11" i="20"/>
  <c r="K11" i="20" l="1"/>
  <c r="J12" i="20" s="1"/>
  <c r="L12" i="20"/>
  <c r="K12" i="20" l="1"/>
  <c r="J13" i="20" s="1"/>
  <c r="L13" i="20"/>
  <c r="K13" i="20" l="1"/>
  <c r="J14" i="20" s="1"/>
  <c r="L14" i="20"/>
  <c r="K14" i="20" l="1"/>
  <c r="J15" i="20" s="1"/>
  <c r="L15" i="20"/>
  <c r="K15" i="20" l="1"/>
  <c r="J16" i="20" s="1"/>
  <c r="L16" i="20"/>
  <c r="M15" i="20" l="1"/>
  <c r="K16" i="20"/>
  <c r="J17" i="20" l="1"/>
  <c r="J20" i="20"/>
  <c r="L20" i="20"/>
  <c r="L17" i="20"/>
  <c r="K17" i="20" l="1"/>
  <c r="J18" i="20" s="1"/>
  <c r="K20" i="20"/>
  <c r="J21" i="20" s="1"/>
  <c r="L18" i="20"/>
  <c r="L21" i="20"/>
  <c r="K21" i="20" l="1"/>
  <c r="J22" i="20" s="1"/>
  <c r="K18" i="20"/>
  <c r="J19" i="20" s="1"/>
  <c r="R2" i="20"/>
  <c r="L19" i="20"/>
  <c r="L22" i="20"/>
  <c r="K22" i="20" l="1"/>
  <c r="J23" i="20" s="1"/>
  <c r="K19" i="20"/>
  <c r="M18" i="20"/>
  <c r="M21" i="20"/>
  <c r="L23" i="20"/>
  <c r="K23" i="20" l="1"/>
  <c r="J24" i="20" s="1"/>
  <c r="L24" i="20"/>
  <c r="K24" i="20" l="1"/>
  <c r="J25" i="20" s="1"/>
  <c r="L25" i="20"/>
  <c r="K25" i="20" l="1"/>
  <c r="J26" i="20" s="1"/>
  <c r="L26" i="20"/>
  <c r="K26" i="20" l="1"/>
  <c r="M25" i="20"/>
  <c r="J27" i="20" l="1"/>
  <c r="J30" i="20"/>
  <c r="L27" i="20"/>
  <c r="L30" i="20"/>
  <c r="K30" i="20" l="1"/>
  <c r="J31" i="20" s="1"/>
  <c r="K27" i="20"/>
  <c r="J28" i="20" s="1"/>
  <c r="L31" i="20"/>
  <c r="L28" i="20"/>
  <c r="K28" i="20" l="1"/>
  <c r="J29" i="20" s="1"/>
  <c r="K31" i="20"/>
  <c r="J32" i="20" s="1"/>
  <c r="R3" i="20"/>
  <c r="L29" i="20"/>
  <c r="L32" i="20"/>
  <c r="M28" i="20" l="1"/>
  <c r="M31" i="20"/>
  <c r="K32" i="20"/>
  <c r="J33" i="20" s="1"/>
  <c r="K29" i="20"/>
  <c r="L33" i="20"/>
  <c r="K33" i="20" l="1"/>
  <c r="J34" i="20" s="1"/>
  <c r="L34" i="20"/>
  <c r="K34" i="20" l="1"/>
  <c r="J35" i="20" s="1"/>
  <c r="L35" i="20"/>
  <c r="K35" i="20" l="1"/>
  <c r="J36" i="20" s="1"/>
  <c r="L36" i="20"/>
  <c r="K36" i="20" l="1"/>
  <c r="M35" i="20"/>
  <c r="J37" i="20" l="1"/>
  <c r="J40" i="20"/>
  <c r="L37" i="20"/>
  <c r="L40" i="20"/>
  <c r="K40" i="20" l="1"/>
  <c r="J41" i="20" s="1"/>
  <c r="K37" i="20"/>
  <c r="J38" i="20" s="1"/>
  <c r="L41" i="20"/>
  <c r="L38" i="20"/>
  <c r="K38" i="20" l="1"/>
  <c r="J39" i="20" s="1"/>
  <c r="K41" i="20"/>
  <c r="J42" i="20" s="1"/>
  <c r="M38" i="20"/>
  <c r="R4" i="20"/>
  <c r="L42" i="20"/>
  <c r="L39" i="20"/>
  <c r="K39" i="20" l="1"/>
  <c r="K42" i="20"/>
  <c r="J43" i="20" s="1"/>
  <c r="M41" i="20"/>
  <c r="L43" i="20"/>
  <c r="K43" i="20" l="1"/>
  <c r="J44" i="20" s="1"/>
  <c r="L44" i="20"/>
  <c r="K44" i="20" l="1"/>
  <c r="J45" i="20" s="1"/>
  <c r="L45" i="20"/>
  <c r="K45" i="20" l="1"/>
  <c r="J46" i="20" s="1"/>
  <c r="L46" i="20"/>
  <c r="M45" i="20" l="1"/>
  <c r="K46" i="20"/>
  <c r="J50" i="20" l="1"/>
  <c r="J47" i="20"/>
  <c r="L50" i="20"/>
  <c r="L47" i="20"/>
  <c r="K47" i="20" l="1"/>
  <c r="J48" i="20" s="1"/>
  <c r="K50" i="20"/>
  <c r="J51" i="20" s="1"/>
  <c r="L48" i="20"/>
  <c r="L51" i="20"/>
  <c r="K51" i="20" l="1"/>
  <c r="J52" i="20" s="1"/>
  <c r="K48" i="20"/>
  <c r="J49" i="20" s="1"/>
  <c r="R5" i="20"/>
  <c r="L49" i="20"/>
  <c r="L52" i="20"/>
  <c r="M48" i="20" l="1"/>
  <c r="K52" i="20"/>
  <c r="J53" i="20" s="1"/>
  <c r="K49" i="20"/>
  <c r="M51" i="20"/>
  <c r="L53" i="20"/>
  <c r="K53" i="20" l="1"/>
  <c r="J54" i="20" s="1"/>
  <c r="L54" i="20"/>
  <c r="K54" i="20" l="1"/>
  <c r="J55" i="20" s="1"/>
  <c r="L55" i="20"/>
  <c r="K55" i="20" l="1"/>
  <c r="J56" i="20" s="1"/>
  <c r="L56" i="20"/>
  <c r="M55" i="20" l="1"/>
  <c r="K56" i="20"/>
  <c r="J60" i="20" l="1"/>
  <c r="J57" i="20"/>
  <c r="L57" i="20"/>
  <c r="L60" i="20"/>
  <c r="K60" i="20" l="1"/>
  <c r="J61" i="20" s="1"/>
  <c r="K57" i="20"/>
  <c r="J58" i="20" s="1"/>
  <c r="L58" i="20"/>
  <c r="L61" i="20"/>
  <c r="K61" i="20" l="1"/>
  <c r="J62" i="20" s="1"/>
  <c r="K58" i="20"/>
  <c r="J59" i="20" s="1"/>
  <c r="R6" i="20"/>
  <c r="L62" i="20"/>
  <c r="L59" i="20"/>
  <c r="M61" i="20" l="1"/>
  <c r="K59" i="20"/>
  <c r="K62" i="20"/>
  <c r="J63" i="20" s="1"/>
  <c r="M58" i="20"/>
  <c r="L63" i="20"/>
  <c r="K63" i="20" l="1"/>
  <c r="J64" i="20" s="1"/>
  <c r="L64" i="20"/>
  <c r="K64" i="20" l="1"/>
  <c r="J65" i="20" s="1"/>
  <c r="L65" i="20"/>
  <c r="K65" i="20" l="1"/>
  <c r="J66" i="20" s="1"/>
  <c r="L66" i="20"/>
  <c r="K66" i="20" l="1"/>
  <c r="M65" i="20"/>
  <c r="J67" i="20" l="1"/>
  <c r="J70" i="20"/>
  <c r="L67" i="20"/>
  <c r="L70" i="20"/>
  <c r="K70" i="20" l="1"/>
  <c r="J71" i="20" s="1"/>
  <c r="K67" i="20"/>
  <c r="J68" i="20" s="1"/>
  <c r="L71" i="20"/>
  <c r="L68" i="20"/>
  <c r="K68" i="20" l="1"/>
  <c r="J69" i="20" s="1"/>
  <c r="K71" i="20"/>
  <c r="J72" i="20" s="1"/>
  <c r="R7" i="20"/>
  <c r="L69" i="20"/>
  <c r="L72" i="20"/>
  <c r="M68" i="20" l="1"/>
  <c r="K72" i="20"/>
  <c r="J73" i="20" s="1"/>
  <c r="K69" i="20"/>
  <c r="M71" i="20"/>
  <c r="L73" i="20"/>
  <c r="K73" i="20" l="1"/>
</calcChain>
</file>

<file path=xl/sharedStrings.xml><?xml version="1.0" encoding="utf-8"?>
<sst xmlns="http://schemas.openxmlformats.org/spreadsheetml/2006/main" count="527" uniqueCount="200">
  <si>
    <t>*</t>
  </si>
  <si>
    <t xml:space="preserve"> column 1       : atomic number</t>
  </si>
  <si>
    <t xml:space="preserve"> column 7 to 10 : coefficients for high energy stopping of helium</t>
  </si>
  <si>
    <t xml:space="preserve">  (from Anderson &amp; Ziegler, vol 4, table 6)</t>
  </si>
  <si>
    <t xml:space="preserve"> column 2 to 13 : coefficients for stopping of hydrogen (from Anderson &amp; Ziegler, vol 3, table 2)</t>
  </si>
  <si>
    <t xml:space="preserve"> column 14      : conversion factor for eV/(1E15atms/cm2) to keV/(g/cm2)</t>
  </si>
  <si>
    <t xml:space="preserve"> column 15      : atomic mass in amu</t>
  </si>
  <si>
    <t xml:space="preserve"> column 16      : density of element in g/cm3 for solids, mg/cm3 for gases (* means density only very approximate)</t>
  </si>
  <si>
    <t>from J. F. Ziegler, vol 5, pages 22-23</t>
  </si>
  <si>
    <t>column 1 : atomic number</t>
  </si>
  <si>
    <t>column 2 : mean ionization potential for solid phase (eV)</t>
  </si>
  <si>
    <t>column 3 : mean ionization potential for gas phase   (eV)</t>
  </si>
  <si>
    <t xml:space="preserve"> column 2 to 6  : coefficients for low energy stopping of helium for solids</t>
  </si>
  <si>
    <t>E (MeV)</t>
  </si>
  <si>
    <t>N</t>
  </si>
  <si>
    <t>St Power
MeV/g/cm2</t>
  </si>
  <si>
    <t>H</t>
  </si>
  <si>
    <t>He</t>
  </si>
  <si>
    <t>LI</t>
  </si>
  <si>
    <t>Be</t>
  </si>
  <si>
    <t>B</t>
  </si>
  <si>
    <t>C</t>
  </si>
  <si>
    <t>O</t>
  </si>
  <si>
    <t>F</t>
  </si>
  <si>
    <t>Ne</t>
  </si>
  <si>
    <t>Mg</t>
  </si>
  <si>
    <t>Al</t>
  </si>
  <si>
    <t>NA</t>
  </si>
  <si>
    <t>Si</t>
  </si>
  <si>
    <t>P</t>
  </si>
  <si>
    <t>S</t>
  </si>
  <si>
    <t>Cl</t>
  </si>
  <si>
    <t>Ar</t>
  </si>
  <si>
    <t>K</t>
  </si>
  <si>
    <t>Ca</t>
  </si>
  <si>
    <t>Sc</t>
  </si>
  <si>
    <t>Ti</t>
  </si>
  <si>
    <t>V</t>
  </si>
  <si>
    <t>Cr</t>
  </si>
  <si>
    <t>Fe</t>
  </si>
  <si>
    <t>Co</t>
  </si>
  <si>
    <t>Ni</t>
  </si>
  <si>
    <t>Cu</t>
  </si>
  <si>
    <t>Zn</t>
  </si>
  <si>
    <t>Ga</t>
  </si>
  <si>
    <t>Ge</t>
  </si>
  <si>
    <t>As</t>
  </si>
  <si>
    <t>Se</t>
  </si>
  <si>
    <t>Br</t>
  </si>
  <si>
    <t>Kr</t>
  </si>
  <si>
    <t>Mn</t>
  </si>
  <si>
    <t>Rb</t>
  </si>
  <si>
    <t>Sr</t>
  </si>
  <si>
    <t>Y</t>
  </si>
  <si>
    <t>Zr</t>
  </si>
  <si>
    <t>Nb</t>
  </si>
  <si>
    <t>Mo</t>
  </si>
  <si>
    <t>Tc</t>
  </si>
  <si>
    <t>Ru</t>
  </si>
  <si>
    <t>Rh</t>
  </si>
  <si>
    <t>Pd</t>
  </si>
  <si>
    <t>Ag</t>
  </si>
  <si>
    <t>Cd</t>
  </si>
  <si>
    <t>In</t>
  </si>
  <si>
    <t>Sn</t>
  </si>
  <si>
    <t>Sb</t>
  </si>
  <si>
    <t>Te</t>
  </si>
  <si>
    <t>I</t>
  </si>
  <si>
    <t>Xe</t>
  </si>
  <si>
    <t>Cs</t>
  </si>
  <si>
    <t>Ba</t>
  </si>
  <si>
    <t>La</t>
  </si>
  <si>
    <t>Ce</t>
  </si>
  <si>
    <t>Pr</t>
  </si>
  <si>
    <t>Nd</t>
  </si>
  <si>
    <t>Sm</t>
  </si>
  <si>
    <t>Eu</t>
  </si>
  <si>
    <t>Pm</t>
  </si>
  <si>
    <t>Gd</t>
  </si>
  <si>
    <t>Tb</t>
  </si>
  <si>
    <t>Dy</t>
  </si>
  <si>
    <t>Ho</t>
  </si>
  <si>
    <t>Er</t>
  </si>
  <si>
    <t>Tm</t>
  </si>
  <si>
    <t>Yb</t>
  </si>
  <si>
    <t>Lu</t>
  </si>
  <si>
    <t>Hf</t>
  </si>
  <si>
    <t>Ta</t>
  </si>
  <si>
    <t>W</t>
  </si>
  <si>
    <t>Re</t>
  </si>
  <si>
    <t>Os</t>
  </si>
  <si>
    <t>Ir</t>
  </si>
  <si>
    <t>Pt</t>
  </si>
  <si>
    <t>Au</t>
  </si>
  <si>
    <t>Hg</t>
  </si>
  <si>
    <t>Tl</t>
  </si>
  <si>
    <t>Pb</t>
  </si>
  <si>
    <t>Bi</t>
  </si>
  <si>
    <t>Po</t>
  </si>
  <si>
    <t>At</t>
  </si>
  <si>
    <t>Rn</t>
  </si>
  <si>
    <t>Fr</t>
  </si>
  <si>
    <t>Ra</t>
  </si>
  <si>
    <t>Ac</t>
  </si>
  <si>
    <t>Th</t>
  </si>
  <si>
    <t>Pa</t>
  </si>
  <si>
    <t>U</t>
  </si>
  <si>
    <t>mg/cm^2</t>
  </si>
  <si>
    <t>RbCl</t>
  </si>
  <si>
    <t>Inconel</t>
  </si>
  <si>
    <t>Density</t>
  </si>
  <si>
    <t>rb</t>
  </si>
  <si>
    <t>Name</t>
  </si>
  <si>
    <t>[mm]</t>
  </si>
  <si>
    <t>[MeV]</t>
  </si>
  <si>
    <t>Mass</t>
  </si>
  <si>
    <t>Beam
Energy</t>
  </si>
  <si>
    <t>Z-number</t>
  </si>
  <si>
    <t>Precision</t>
  </si>
  <si>
    <t>Target
Name</t>
  </si>
  <si>
    <t>Thickness</t>
  </si>
  <si>
    <t>Incident Energy</t>
  </si>
  <si>
    <t>Exit Energy</t>
  </si>
  <si>
    <t>Energy Loss</t>
  </si>
  <si>
    <t>[g/cm3]</t>
  </si>
  <si>
    <t>Water</t>
  </si>
  <si>
    <t>[mg/cm2]</t>
  </si>
  <si>
    <t>water</t>
  </si>
  <si>
    <t>Projectile Data</t>
  </si>
  <si>
    <t>Target Stack Data</t>
  </si>
  <si>
    <t>No.</t>
  </si>
  <si>
    <t>Proton Stopping Coefficients</t>
  </si>
  <si>
    <t>Variable Name=BHe</t>
  </si>
  <si>
    <t>He Stopping Coefficients</t>
  </si>
  <si>
    <t>Variable Name=Ah</t>
  </si>
  <si>
    <t>Variable Name=BGHe</t>
  </si>
  <si>
    <t xml:space="preserve"> column 1 to 5  : coefficients for low energy stopping of </t>
  </si>
  <si>
    <t>helium for gases</t>
  </si>
  <si>
    <t>(from Anderson &amp; Ziegler, vol 4, tables 4 &amp; 5)</t>
  </si>
  <si>
    <t>Ionization Potential</t>
  </si>
  <si>
    <t>Variable Name=CIpot</t>
  </si>
  <si>
    <t>TargetID</t>
  </si>
  <si>
    <t>Projectile Z-number</t>
  </si>
  <si>
    <t>Projectile Mass (amu)</t>
  </si>
  <si>
    <t>Target name</t>
  </si>
  <si>
    <t>Target thickness</t>
  </si>
  <si>
    <t>Gas ? (for Alphas only)</t>
  </si>
  <si>
    <t>Listed Density</t>
  </si>
  <si>
    <t>Calculated Thickness</t>
  </si>
  <si>
    <t>Specified Thickness</t>
  </si>
  <si>
    <t>Specified Density</t>
  </si>
  <si>
    <t>Energy loss
(MeV)</t>
  </si>
  <si>
    <t>E0</t>
  </si>
  <si>
    <t>MeV</t>
  </si>
  <si>
    <t>Thickness
(mg/cm2)</t>
  </si>
  <si>
    <t>Th. Increment</t>
  </si>
  <si>
    <t>A negative value signifies the range in mg/cm^2</t>
  </si>
  <si>
    <t>Compound</t>
  </si>
  <si>
    <t>Z/ID</t>
  </si>
  <si>
    <t>NZ</t>
  </si>
  <si>
    <t>Z-number of Nth constituent</t>
  </si>
  <si>
    <t>Relative number of Nth consituent</t>
  </si>
  <si>
    <t>316 SS</t>
  </si>
  <si>
    <t>NaCl</t>
  </si>
  <si>
    <r>
      <t>Z</t>
    </r>
    <r>
      <rPr>
        <vertAlign val="subscript"/>
        <sz val="10"/>
        <rFont val="Arial"/>
        <family val="2"/>
      </rPr>
      <t>target</t>
    </r>
    <r>
      <rPr>
        <sz val="10"/>
        <rFont val="Arial"/>
      </rPr>
      <t xml:space="preserve">   or
</t>
    </r>
    <r>
      <rPr>
        <vertAlign val="superscript"/>
        <sz val="10"/>
        <rFont val="Arial"/>
        <family val="2"/>
      </rPr>
      <t>Compond  ID</t>
    </r>
  </si>
  <si>
    <t>Kapton</t>
  </si>
  <si>
    <t>Air</t>
  </si>
  <si>
    <t>px plane</t>
  </si>
  <si>
    <t>Box 1 Geometry</t>
  </si>
  <si>
    <t>MCNP INPUT</t>
  </si>
  <si>
    <t>px planes [cm]</t>
  </si>
  <si>
    <t>px</t>
  </si>
  <si>
    <t>6061 Al</t>
  </si>
  <si>
    <t>KaptonAd</t>
  </si>
  <si>
    <t>px (mm)</t>
  </si>
  <si>
    <t>Eincident (MeV)</t>
  </si>
  <si>
    <t>Stack  #1.0</t>
  </si>
  <si>
    <t>Mean Energy</t>
  </si>
  <si>
    <t>Nb Energies</t>
  </si>
  <si>
    <t>Nb + p for Mo-93 monitor</t>
  </si>
  <si>
    <t>Al1</t>
  </si>
  <si>
    <t>Cu2</t>
  </si>
  <si>
    <t>Nb4</t>
  </si>
  <si>
    <t>Cu1</t>
  </si>
  <si>
    <t>Nb1</t>
  </si>
  <si>
    <t>Cu5</t>
  </si>
  <si>
    <t>Nb5</t>
  </si>
  <si>
    <t>Al4</t>
  </si>
  <si>
    <t>Nb2</t>
  </si>
  <si>
    <t>Al3</t>
  </si>
  <si>
    <t>Al2</t>
  </si>
  <si>
    <t>Cu3</t>
  </si>
  <si>
    <t>Nb3</t>
  </si>
  <si>
    <t>Cu4</t>
  </si>
  <si>
    <t>Al5</t>
  </si>
  <si>
    <t>Al6</t>
  </si>
  <si>
    <t>Cu6</t>
  </si>
  <si>
    <t>Nb6</t>
  </si>
  <si>
    <t>Silicone</t>
  </si>
  <si>
    <t>Air Thickness: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</si>
</sst>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43" formatCode="_(* #,##0.00_);_(* \(#,##0.00\);_(* &quot;-&quot;??_);_(@_)"/>
    <numFmt numFmtId="164" formatCode="_(* #,##0.000_);_(* \(#,##0.000\);_(* &quot;-&quot;??_);_(@_)"/>
    <numFmt numFmtId="165" formatCode="_(* #,##0.0000_);_(* \(#,##0.0000\);_(* &quot;-&quot;??_);_(@_)"/>
    <numFmt numFmtId="166" formatCode="_(* #,##0.00000000_);_(* \(#,##0.00000000\);_(* &quot;-&quot;??_);_(@_)"/>
    <numFmt numFmtId="167" formatCode="_(* #,##0.0_);_(* \(#,##0.0\);_(* &quot;-&quot;??_);_(@_)"/>
    <numFmt numFmtId="168" formatCode="0.0"/>
    <numFmt numFmtId="169" formatCode="0.000"/>
    <numFmt numFmtId="170" formatCode="0.0000"/>
    <numFmt numFmtId="171" formatCode="0.00000"/>
    <numFmt numFmtId="172" formatCode="0.000000"/>
    <numFmt numFmtId="173" formatCode="0.0000000"/>
    <numFmt numFmtId="174" formatCode="0.0000E+00"/>
  </numFmts>
  <fonts count="24" x14ac:knownFonts="1">
    <font>
      <sz val="10"/>
      <name val="Arial"/>
    </font>
    <font>
      <sz val="10"/>
      <name val="Arial"/>
    </font>
    <font>
      <b/>
      <sz val="10"/>
      <name val="Arial"/>
      <family val="2"/>
    </font>
    <font>
      <sz val="10"/>
      <name val="Arial"/>
    </font>
    <font>
      <sz val="8.5"/>
      <name val="Times New Roman"/>
      <family val="1"/>
    </font>
    <font>
      <b/>
      <sz val="12"/>
      <name val="Times New Roman"/>
      <family val="1"/>
    </font>
    <font>
      <b/>
      <sz val="12"/>
      <name val="Arial"/>
      <family val="2"/>
    </font>
    <font>
      <vertAlign val="subscript"/>
      <sz val="10"/>
      <name val="Arial"/>
      <family val="2"/>
    </font>
    <font>
      <vertAlign val="superscript"/>
      <sz val="10"/>
      <name val="Arial"/>
      <family val="2"/>
    </font>
    <font>
      <sz val="10"/>
      <color indexed="8"/>
      <name val="Arial"/>
    </font>
    <font>
      <sz val="12"/>
      <color indexed="8"/>
      <name val="Arial"/>
      <family val="2"/>
    </font>
    <font>
      <sz val="12"/>
      <color indexed="12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sz val="12"/>
      <name val="Times New Roman"/>
      <family val="1"/>
    </font>
    <font>
      <sz val="12"/>
      <name val="Arial"/>
    </font>
    <font>
      <sz val="8.5"/>
      <color rgb="FFFF0000"/>
      <name val="Times New Roman"/>
      <family val="1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theme="0"/>
      <name val="Arial"/>
      <family val="2"/>
    </font>
    <font>
      <sz val="10"/>
      <color theme="0"/>
      <name val="Arial"/>
    </font>
    <font>
      <sz val="10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8"/>
      </patternFill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9" tint="0.79998168889431442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272">
    <xf numFmtId="0" fontId="0" fillId="0" borderId="0" xfId="0"/>
    <xf numFmtId="164" fontId="0" fillId="0" borderId="0" xfId="1" applyNumberFormat="1" applyFont="1"/>
    <xf numFmtId="166" fontId="0" fillId="0" borderId="0" xfId="1" applyNumberFormat="1" applyFont="1"/>
    <xf numFmtId="167" fontId="0" fillId="0" borderId="0" xfId="1" applyNumberFormat="1" applyFont="1"/>
    <xf numFmtId="173" fontId="0" fillId="0" borderId="0" xfId="1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169" fontId="0" fillId="0" borderId="0" xfId="0" applyNumberFormat="1"/>
    <xf numFmtId="168" fontId="0" fillId="0" borderId="0" xfId="0" applyNumberFormat="1"/>
    <xf numFmtId="173" fontId="0" fillId="0" borderId="0" xfId="0" applyNumberFormat="1"/>
    <xf numFmtId="0" fontId="0" fillId="0" borderId="0" xfId="0" applyFill="1"/>
    <xf numFmtId="0" fontId="2" fillId="0" borderId="0" xfId="0" applyFont="1" applyFill="1"/>
    <xf numFmtId="0" fontId="0" fillId="0" borderId="0" xfId="0" applyFill="1" applyAlignment="1">
      <alignment horizontal="center"/>
    </xf>
    <xf numFmtId="174" fontId="0" fillId="0" borderId="0" xfId="0" applyNumberFormat="1"/>
    <xf numFmtId="174" fontId="0" fillId="0" borderId="0" xfId="0" applyNumberFormat="1" applyFill="1"/>
    <xf numFmtId="165" fontId="0" fillId="0" borderId="0" xfId="1" applyNumberFormat="1" applyFont="1" applyFill="1"/>
    <xf numFmtId="0" fontId="3" fillId="0" borderId="0" xfId="0" applyFont="1" applyFill="1"/>
    <xf numFmtId="169" fontId="0" fillId="0" borderId="0" xfId="0" applyNumberFormat="1" applyFill="1"/>
    <xf numFmtId="173" fontId="0" fillId="0" borderId="0" xfId="0" applyNumberFormat="1" applyFill="1"/>
    <xf numFmtId="0" fontId="0" fillId="0" borderId="0" xfId="0" applyFill="1" applyAlignment="1"/>
    <xf numFmtId="0" fontId="0" fillId="0" borderId="0" xfId="0" applyAlignment="1"/>
    <xf numFmtId="0" fontId="0" fillId="2" borderId="1" xfId="0" applyFill="1" applyBorder="1"/>
    <xf numFmtId="0" fontId="0" fillId="3" borderId="1" xfId="0" applyFill="1" applyBorder="1"/>
    <xf numFmtId="0" fontId="0" fillId="0" borderId="0" xfId="0" applyFill="1" applyBorder="1"/>
    <xf numFmtId="0" fontId="0" fillId="4" borderId="0" xfId="0" applyFill="1" applyBorder="1"/>
    <xf numFmtId="169" fontId="0" fillId="0" borderId="0" xfId="0" applyNumberFormat="1" applyFill="1" applyAlignment="1">
      <alignment horizontal="center"/>
    </xf>
    <xf numFmtId="0" fontId="4" fillId="5" borderId="0" xfId="0" applyFont="1" applyFill="1" applyBorder="1" applyAlignment="1">
      <alignment horizontal="center" vertical="center"/>
    </xf>
    <xf numFmtId="0" fontId="5" fillId="5" borderId="0" xfId="0" applyFont="1" applyFill="1" applyBorder="1" applyAlignment="1">
      <alignment horizontal="left" vertical="center"/>
    </xf>
    <xf numFmtId="0" fontId="3" fillId="5" borderId="0" xfId="0" applyFont="1" applyFill="1" applyBorder="1" applyAlignment="1">
      <alignment horizontal="center" vertical="center"/>
    </xf>
    <xf numFmtId="0" fontId="3" fillId="0" borderId="2" xfId="0" applyFont="1" applyBorder="1" applyAlignment="1" applyProtection="1">
      <alignment horizontal="centerContinuous"/>
    </xf>
    <xf numFmtId="0" fontId="3" fillId="0" borderId="2" xfId="0" applyFont="1" applyBorder="1" applyAlignment="1">
      <alignment horizontal="centerContinuous"/>
    </xf>
    <xf numFmtId="0" fontId="3" fillId="0" borderId="2" xfId="0" applyFont="1" applyBorder="1" applyAlignment="1" applyProtection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/>
    </xf>
    <xf numFmtId="171" fontId="3" fillId="6" borderId="0" xfId="0" applyNumberFormat="1" applyFont="1" applyFill="1" applyAlignment="1">
      <alignment horizontal="center"/>
    </xf>
    <xf numFmtId="0" fontId="3" fillId="5" borderId="0" xfId="0" applyFont="1" applyFill="1" applyBorder="1" applyAlignment="1" applyProtection="1">
      <alignment horizontal="center"/>
    </xf>
    <xf numFmtId="0" fontId="0" fillId="7" borderId="0" xfId="0" applyFill="1"/>
    <xf numFmtId="169" fontId="0" fillId="7" borderId="0" xfId="0" applyNumberFormat="1" applyFill="1"/>
    <xf numFmtId="168" fontId="0" fillId="7" borderId="0" xfId="0" applyNumberFormat="1" applyFill="1"/>
    <xf numFmtId="172" fontId="0" fillId="7" borderId="0" xfId="0" applyNumberFormat="1" applyFill="1"/>
    <xf numFmtId="173" fontId="0" fillId="7" borderId="0" xfId="0" applyNumberFormat="1" applyFill="1"/>
    <xf numFmtId="170" fontId="0" fillId="7" borderId="0" xfId="0" applyNumberFormat="1" applyFill="1"/>
    <xf numFmtId="171" fontId="0" fillId="7" borderId="0" xfId="0" applyNumberFormat="1" applyFill="1"/>
    <xf numFmtId="173" fontId="0" fillId="7" borderId="0" xfId="1" applyNumberFormat="1" applyFont="1" applyFill="1"/>
    <xf numFmtId="167" fontId="0" fillId="7" borderId="0" xfId="1" applyNumberFormat="1" applyFont="1" applyFill="1"/>
    <xf numFmtId="164" fontId="0" fillId="7" borderId="0" xfId="1" applyNumberFormat="1" applyFont="1" applyFill="1"/>
    <xf numFmtId="166" fontId="0" fillId="7" borderId="0" xfId="1" applyNumberFormat="1" applyFont="1" applyFill="1"/>
    <xf numFmtId="0" fontId="6" fillId="0" borderId="0" xfId="0" applyFont="1"/>
    <xf numFmtId="170" fontId="0" fillId="3" borderId="0" xfId="0" applyNumberFormat="1" applyFill="1"/>
    <xf numFmtId="169" fontId="0" fillId="3" borderId="0" xfId="0" applyNumberFormat="1" applyFill="1"/>
    <xf numFmtId="173" fontId="0" fillId="3" borderId="0" xfId="0" applyNumberFormat="1" applyFill="1"/>
    <xf numFmtId="171" fontId="0" fillId="3" borderId="0" xfId="0" applyNumberFormat="1" applyFill="1"/>
    <xf numFmtId="172" fontId="0" fillId="3" borderId="0" xfId="0" applyNumberFormat="1" applyFill="1"/>
    <xf numFmtId="0" fontId="0" fillId="2" borderId="0" xfId="0" applyFill="1"/>
    <xf numFmtId="0" fontId="0" fillId="0" borderId="3" xfId="0" applyFill="1" applyBorder="1" applyAlignment="1"/>
    <xf numFmtId="0" fontId="0" fillId="0" borderId="4" xfId="0" applyFill="1" applyBorder="1" applyAlignment="1"/>
    <xf numFmtId="0" fontId="0" fillId="0" borderId="5" xfId="0" applyFill="1" applyBorder="1" applyAlignment="1"/>
    <xf numFmtId="0" fontId="0" fillId="0" borderId="0" xfId="0" applyFill="1" applyBorder="1" applyAlignment="1"/>
    <xf numFmtId="0" fontId="0" fillId="0" borderId="6" xfId="0" applyBorder="1"/>
    <xf numFmtId="0" fontId="0" fillId="0" borderId="5" xfId="0" applyBorder="1"/>
    <xf numFmtId="0" fontId="0" fillId="0" borderId="0" xfId="0" applyBorder="1"/>
    <xf numFmtId="169" fontId="0" fillId="0" borderId="0" xfId="0" applyNumberFormat="1" applyBorder="1" applyAlignment="1"/>
    <xf numFmtId="0" fontId="0" fillId="0" borderId="3" xfId="0" applyBorder="1"/>
    <xf numFmtId="0" fontId="0" fillId="0" borderId="5" xfId="0" applyBorder="1" applyAlignment="1"/>
    <xf numFmtId="165" fontId="0" fillId="0" borderId="0" xfId="1" applyNumberFormat="1" applyFont="1" applyFill="1" applyBorder="1" applyAlignment="1">
      <alignment wrapText="1"/>
    </xf>
    <xf numFmtId="170" fontId="0" fillId="0" borderId="5" xfId="0" applyNumberFormat="1" applyBorder="1" applyAlignment="1"/>
    <xf numFmtId="2" fontId="0" fillId="4" borderId="5" xfId="0" applyNumberFormat="1" applyFill="1" applyBorder="1" applyAlignment="1" applyProtection="1">
      <protection locked="0"/>
    </xf>
    <xf numFmtId="169" fontId="0" fillId="0" borderId="0" xfId="0" applyNumberFormat="1" applyFill="1" applyBorder="1"/>
    <xf numFmtId="169" fontId="0" fillId="0" borderId="0" xfId="0" applyNumberFormat="1" applyFill="1" applyAlignment="1"/>
    <xf numFmtId="0" fontId="0" fillId="0" borderId="0" xfId="0" applyBorder="1" applyAlignment="1"/>
    <xf numFmtId="0" fontId="6" fillId="4" borderId="7" xfId="0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3" fillId="0" borderId="2" xfId="0" applyFont="1" applyFill="1" applyBorder="1" applyAlignment="1">
      <alignment horizontal="center"/>
    </xf>
    <xf numFmtId="170" fontId="0" fillId="0" borderId="5" xfId="0" applyNumberFormat="1" applyBorder="1" applyAlignment="1">
      <alignment horizontal="center"/>
    </xf>
    <xf numFmtId="165" fontId="0" fillId="0" borderId="0" xfId="1" applyNumberFormat="1" applyFont="1" applyFill="1" applyBorder="1" applyAlignment="1">
      <alignment horizontal="center" wrapText="1"/>
    </xf>
    <xf numFmtId="169" fontId="0" fillId="0" borderId="0" xfId="0" applyNumberFormat="1" applyBorder="1" applyAlignment="1">
      <alignment horizontal="center" wrapText="1"/>
    </xf>
    <xf numFmtId="0" fontId="0" fillId="0" borderId="6" xfId="0" applyBorder="1" applyAlignment="1">
      <alignment horizontal="center"/>
    </xf>
    <xf numFmtId="0" fontId="9" fillId="0" borderId="5" xfId="0" applyFont="1" applyBorder="1"/>
    <xf numFmtId="0" fontId="9" fillId="0" borderId="5" xfId="0" applyFont="1" applyBorder="1" applyAlignment="1">
      <alignment horizontal="center" wrapText="1"/>
    </xf>
    <xf numFmtId="169" fontId="9" fillId="0" borderId="5" xfId="0" applyNumberFormat="1" applyFont="1" applyBorder="1"/>
    <xf numFmtId="0" fontId="0" fillId="4" borderId="0" xfId="0" applyFill="1" applyBorder="1" applyAlignment="1" applyProtection="1">
      <alignment horizontal="center"/>
      <protection locked="0"/>
    </xf>
    <xf numFmtId="0" fontId="10" fillId="0" borderId="5" xfId="0" applyFont="1" applyBorder="1"/>
    <xf numFmtId="0" fontId="11" fillId="0" borderId="0" xfId="0" applyFont="1" applyBorder="1"/>
    <xf numFmtId="0" fontId="0" fillId="0" borderId="0" xfId="0" applyFill="1" applyBorder="1" applyProtection="1">
      <protection locked="0"/>
    </xf>
    <xf numFmtId="0" fontId="0" fillId="4" borderId="0" xfId="0" applyFill="1" applyBorder="1" applyProtection="1">
      <protection locked="0"/>
    </xf>
    <xf numFmtId="0" fontId="0" fillId="2" borderId="1" xfId="0" applyFill="1" applyBorder="1" applyProtection="1">
      <protection locked="0"/>
    </xf>
    <xf numFmtId="0" fontId="0" fillId="3" borderId="1" xfId="0" applyFill="1" applyBorder="1" applyProtection="1">
      <protection locked="0"/>
    </xf>
    <xf numFmtId="0" fontId="0" fillId="0" borderId="0" xfId="0" applyProtection="1">
      <protection locked="0"/>
    </xf>
    <xf numFmtId="0" fontId="4" fillId="0" borderId="0" xfId="0" applyFont="1" applyFill="1" applyBorder="1" applyAlignment="1">
      <alignment horizontal="center" vertical="center"/>
    </xf>
    <xf numFmtId="170" fontId="4" fillId="5" borderId="0" xfId="0" applyNumberFormat="1" applyFont="1" applyFill="1" applyBorder="1" applyAlignment="1">
      <alignment horizontal="center" vertical="center"/>
    </xf>
    <xf numFmtId="170" fontId="3" fillId="0" borderId="2" xfId="0" applyNumberFormat="1" applyFont="1" applyBorder="1" applyAlignment="1">
      <alignment horizontal="centerContinuous"/>
    </xf>
    <xf numFmtId="170" fontId="3" fillId="0" borderId="2" xfId="0" applyNumberFormat="1" applyFont="1" applyBorder="1" applyAlignment="1">
      <alignment horizontal="center" vertical="center" wrapText="1"/>
    </xf>
    <xf numFmtId="170" fontId="3" fillId="0" borderId="2" xfId="0" applyNumberFormat="1" applyFont="1" applyFill="1" applyBorder="1"/>
    <xf numFmtId="170" fontId="3" fillId="6" borderId="0" xfId="0" applyNumberFormat="1" applyFont="1" applyFill="1" applyAlignment="1">
      <alignment horizontal="center"/>
    </xf>
    <xf numFmtId="0" fontId="3" fillId="0" borderId="0" xfId="0" applyFont="1" applyFill="1" applyBorder="1" applyProtection="1">
      <protection locked="0"/>
    </xf>
    <xf numFmtId="0" fontId="3" fillId="5" borderId="8" xfId="0" applyFont="1" applyFill="1" applyBorder="1" applyAlignment="1" applyProtection="1">
      <alignment horizontal="center" vertical="center" wrapText="1"/>
    </xf>
    <xf numFmtId="0" fontId="3" fillId="0" borderId="2" xfId="0" applyFont="1" applyFill="1" applyBorder="1" applyAlignment="1">
      <alignment horizontal="center" vertical="center"/>
    </xf>
    <xf numFmtId="2" fontId="12" fillId="0" borderId="2" xfId="0" applyNumberFormat="1" applyFont="1" applyFill="1" applyBorder="1" applyAlignment="1" applyProtection="1">
      <alignment horizontal="center" vertical="center"/>
      <protection locked="0"/>
    </xf>
    <xf numFmtId="0" fontId="12" fillId="0" borderId="2" xfId="0" applyFont="1" applyFill="1" applyBorder="1" applyAlignment="1" applyProtection="1">
      <alignment horizontal="center" vertical="center"/>
      <protection locked="0"/>
    </xf>
    <xf numFmtId="169" fontId="3" fillId="0" borderId="2" xfId="0" applyNumberFormat="1" applyFont="1" applyFill="1" applyBorder="1" applyAlignment="1">
      <alignment horizontal="right" vertical="center"/>
    </xf>
    <xf numFmtId="2" fontId="2" fillId="0" borderId="2" xfId="0" applyNumberFormat="1" applyFont="1" applyFill="1" applyBorder="1" applyAlignment="1" applyProtection="1">
      <alignment horizontal="center" vertical="center"/>
      <protection locked="0"/>
    </xf>
    <xf numFmtId="170" fontId="2" fillId="0" borderId="2" xfId="0" applyNumberFormat="1" applyFont="1" applyFill="1" applyBorder="1" applyAlignment="1" applyProtection="1">
      <alignment horizontal="center" vertical="center"/>
      <protection locked="0"/>
    </xf>
    <xf numFmtId="0" fontId="3" fillId="0" borderId="9" xfId="0" applyFont="1" applyFill="1" applyBorder="1" applyAlignment="1">
      <alignment horizontal="center" vertical="center"/>
    </xf>
    <xf numFmtId="2" fontId="3" fillId="0" borderId="2" xfId="0" applyNumberFormat="1" applyFont="1" applyFill="1" applyBorder="1" applyAlignment="1">
      <alignment horizontal="right" vertical="center"/>
    </xf>
    <xf numFmtId="0" fontId="3" fillId="5" borderId="10" xfId="0" applyFont="1" applyFill="1" applyBorder="1" applyAlignment="1" applyProtection="1">
      <alignment horizontal="center" vertical="center" wrapText="1"/>
    </xf>
    <xf numFmtId="0" fontId="3" fillId="5" borderId="10" xfId="0" applyFont="1" applyFill="1" applyBorder="1" applyAlignment="1">
      <alignment horizontal="center" vertical="center" wrapText="1"/>
    </xf>
    <xf numFmtId="170" fontId="3" fillId="5" borderId="10" xfId="0" applyNumberFormat="1" applyFont="1" applyFill="1" applyBorder="1" applyAlignment="1">
      <alignment horizontal="center" vertical="center" wrapText="1"/>
    </xf>
    <xf numFmtId="171" fontId="3" fillId="0" borderId="10" xfId="0" applyNumberFormat="1" applyFont="1" applyBorder="1" applyAlignment="1">
      <alignment horizontal="center" vertical="center" wrapText="1"/>
    </xf>
    <xf numFmtId="171" fontId="3" fillId="0" borderId="11" xfId="0" applyNumberFormat="1" applyFont="1" applyBorder="1" applyAlignment="1">
      <alignment horizontal="center" vertical="center" wrapText="1"/>
    </xf>
    <xf numFmtId="0" fontId="3" fillId="0" borderId="12" xfId="0" applyFont="1" applyFill="1" applyBorder="1" applyAlignment="1" applyProtection="1">
      <alignment horizontal="center" vertical="center" wrapText="1"/>
    </xf>
    <xf numFmtId="0" fontId="3" fillId="0" borderId="13" xfId="0" applyFont="1" applyFill="1" applyBorder="1" applyAlignment="1" applyProtection="1">
      <alignment horizontal="center" vertical="center" wrapText="1"/>
    </xf>
    <xf numFmtId="0" fontId="3" fillId="0" borderId="13" xfId="0" applyFont="1" applyFill="1" applyBorder="1" applyAlignment="1">
      <alignment horizontal="center" vertical="center" wrapText="1"/>
    </xf>
    <xf numFmtId="170" fontId="3" fillId="0" borderId="13" xfId="0" applyNumberFormat="1" applyFont="1" applyFill="1" applyBorder="1" applyAlignment="1">
      <alignment horizontal="center" vertical="center" wrapText="1"/>
    </xf>
    <xf numFmtId="171" fontId="3" fillId="0" borderId="13" xfId="0" quotePrefix="1" applyNumberFormat="1" applyFont="1" applyFill="1" applyBorder="1" applyAlignment="1">
      <alignment horizontal="center" vertical="center" wrapText="1"/>
    </xf>
    <xf numFmtId="171" fontId="3" fillId="0" borderId="14" xfId="0" applyNumberFormat="1" applyFont="1" applyFill="1" applyBorder="1" applyAlignment="1">
      <alignment horizontal="center" vertical="center" wrapText="1"/>
    </xf>
    <xf numFmtId="0" fontId="3" fillId="0" borderId="15" xfId="0" applyFont="1" applyFill="1" applyBorder="1" applyAlignment="1" applyProtection="1">
      <alignment horizontal="center" vertical="center" wrapText="1"/>
    </xf>
    <xf numFmtId="0" fontId="3" fillId="0" borderId="9" xfId="0" applyFont="1" applyFill="1" applyBorder="1" applyAlignment="1" applyProtection="1">
      <alignment horizontal="center" vertical="center" wrapText="1"/>
    </xf>
    <xf numFmtId="0" fontId="3" fillId="0" borderId="9" xfId="0" applyFont="1" applyFill="1" applyBorder="1" applyAlignment="1">
      <alignment horizontal="center" vertical="center" wrapText="1"/>
    </xf>
    <xf numFmtId="170" fontId="3" fillId="0" borderId="9" xfId="0" applyNumberFormat="1" applyFont="1" applyFill="1" applyBorder="1" applyAlignment="1">
      <alignment horizontal="center" vertical="center" wrapText="1"/>
    </xf>
    <xf numFmtId="0" fontId="3" fillId="0" borderId="16" xfId="0" applyFont="1" applyFill="1" applyBorder="1" applyAlignment="1">
      <alignment horizontal="center" vertical="center"/>
    </xf>
    <xf numFmtId="169" fontId="2" fillId="0" borderId="2" xfId="0" applyNumberFormat="1" applyFont="1" applyFill="1" applyBorder="1" applyAlignment="1">
      <alignment horizontal="right" vertical="center"/>
    </xf>
    <xf numFmtId="169" fontId="2" fillId="0" borderId="17" xfId="0" applyNumberFormat="1" applyFont="1" applyFill="1" applyBorder="1" applyAlignment="1">
      <alignment horizontal="right" vertical="center"/>
    </xf>
    <xf numFmtId="170" fontId="18" fillId="0" borderId="0" xfId="0" applyNumberFormat="1" applyFont="1" applyFill="1" applyBorder="1" applyAlignment="1">
      <alignment horizontal="center" vertical="center"/>
    </xf>
    <xf numFmtId="170" fontId="19" fillId="0" borderId="0" xfId="0" applyNumberFormat="1" applyFont="1" applyFill="1" applyBorder="1" applyAlignment="1">
      <alignment horizontal="centerContinuous"/>
    </xf>
    <xf numFmtId="170" fontId="19" fillId="0" borderId="0" xfId="0" applyNumberFormat="1" applyFont="1" applyFill="1" applyBorder="1" applyAlignment="1">
      <alignment horizontal="center" vertical="center" wrapText="1"/>
    </xf>
    <xf numFmtId="170" fontId="19" fillId="0" borderId="0" xfId="0" applyNumberFormat="1" applyFont="1" applyFill="1" applyBorder="1"/>
    <xf numFmtId="170" fontId="19" fillId="0" borderId="0" xfId="0" applyNumberFormat="1" applyFont="1" applyFill="1" applyAlignment="1">
      <alignment horizontal="center"/>
    </xf>
    <xf numFmtId="170" fontId="19" fillId="0" borderId="10" xfId="0" applyNumberFormat="1" applyFont="1" applyFill="1" applyBorder="1" applyAlignment="1">
      <alignment horizontal="center" vertical="center" wrapText="1"/>
    </xf>
    <xf numFmtId="170" fontId="19" fillId="0" borderId="9" xfId="0" applyNumberFormat="1" applyFont="1" applyFill="1" applyBorder="1" applyAlignment="1">
      <alignment horizontal="center" vertical="center" wrapText="1"/>
    </xf>
    <xf numFmtId="170" fontId="19" fillId="0" borderId="13" xfId="0" applyNumberFormat="1" applyFont="1" applyFill="1" applyBorder="1" applyAlignment="1">
      <alignment horizontal="center" vertical="center" wrapText="1"/>
    </xf>
    <xf numFmtId="170" fontId="20" fillId="0" borderId="2" xfId="0" applyNumberFormat="1" applyFont="1" applyFill="1" applyBorder="1" applyAlignment="1" applyProtection="1">
      <alignment horizontal="center" vertical="center"/>
      <protection locked="0"/>
    </xf>
    <xf numFmtId="170" fontId="19" fillId="0" borderId="0" xfId="0" applyNumberFormat="1" applyFont="1" applyFill="1"/>
    <xf numFmtId="2" fontId="2" fillId="8" borderId="2" xfId="0" applyNumberFormat="1" applyFont="1" applyFill="1" applyBorder="1" applyAlignment="1" applyProtection="1">
      <alignment horizontal="center" vertical="center"/>
      <protection locked="0"/>
    </xf>
    <xf numFmtId="0" fontId="3" fillId="8" borderId="2" xfId="0" applyFont="1" applyFill="1" applyBorder="1" applyAlignment="1">
      <alignment horizontal="center" vertical="center"/>
    </xf>
    <xf numFmtId="170" fontId="2" fillId="8" borderId="2" xfId="0" applyNumberFormat="1" applyFont="1" applyFill="1" applyBorder="1" applyAlignment="1" applyProtection="1">
      <alignment horizontal="center" vertical="center"/>
      <protection locked="0"/>
    </xf>
    <xf numFmtId="170" fontId="20" fillId="8" borderId="2" xfId="0" applyNumberFormat="1" applyFont="1" applyFill="1" applyBorder="1" applyAlignment="1" applyProtection="1">
      <alignment horizontal="center" vertical="center"/>
      <protection locked="0"/>
    </xf>
    <xf numFmtId="169" fontId="15" fillId="8" borderId="2" xfId="0" applyNumberFormat="1" applyFont="1" applyFill="1" applyBorder="1" applyAlignment="1" applyProtection="1">
      <alignment horizontal="center" vertical="center"/>
      <protection locked="0"/>
    </xf>
    <xf numFmtId="0" fontId="15" fillId="8" borderId="2" xfId="0" applyFont="1" applyFill="1" applyBorder="1" applyAlignment="1" applyProtection="1">
      <alignment horizontal="center" vertical="center"/>
      <protection locked="0"/>
    </xf>
    <xf numFmtId="169" fontId="15" fillId="8" borderId="17" xfId="0" applyNumberFormat="1" applyFont="1" applyFill="1" applyBorder="1" applyAlignment="1">
      <alignment horizontal="right" vertical="center"/>
    </xf>
    <xf numFmtId="0" fontId="3" fillId="9" borderId="18" xfId="0" applyFont="1" applyFill="1" applyBorder="1" applyAlignment="1">
      <alignment horizontal="center" vertical="center"/>
    </xf>
    <xf numFmtId="2" fontId="2" fillId="9" borderId="2" xfId="0" applyNumberFormat="1" applyFont="1" applyFill="1" applyBorder="1" applyAlignment="1" applyProtection="1">
      <alignment horizontal="center" vertical="center"/>
      <protection locked="0"/>
    </xf>
    <xf numFmtId="0" fontId="3" fillId="9" borderId="2" xfId="0" applyFont="1" applyFill="1" applyBorder="1" applyAlignment="1">
      <alignment horizontal="center" vertical="center"/>
    </xf>
    <xf numFmtId="170" fontId="2" fillId="9" borderId="2" xfId="0" applyNumberFormat="1" applyFont="1" applyFill="1" applyBorder="1" applyAlignment="1" applyProtection="1">
      <alignment horizontal="center" vertical="center"/>
      <protection locked="0"/>
    </xf>
    <xf numFmtId="170" fontId="20" fillId="9" borderId="2" xfId="0" applyNumberFormat="1" applyFont="1" applyFill="1" applyBorder="1" applyAlignment="1" applyProtection="1">
      <alignment horizontal="center" vertical="center"/>
      <protection locked="0"/>
    </xf>
    <xf numFmtId="169" fontId="3" fillId="9" borderId="2" xfId="0" applyNumberFormat="1" applyFont="1" applyFill="1" applyBorder="1" applyAlignment="1">
      <alignment horizontal="right" vertical="center"/>
    </xf>
    <xf numFmtId="169" fontId="2" fillId="9" borderId="2" xfId="0" applyNumberFormat="1" applyFont="1" applyFill="1" applyBorder="1" applyAlignment="1">
      <alignment horizontal="right" vertical="center"/>
    </xf>
    <xf numFmtId="169" fontId="2" fillId="9" borderId="17" xfId="0" applyNumberFormat="1" applyFont="1" applyFill="1" applyBorder="1" applyAlignment="1">
      <alignment horizontal="right" vertical="center"/>
    </xf>
    <xf numFmtId="0" fontId="0" fillId="9" borderId="0" xfId="0" applyFill="1"/>
    <xf numFmtId="43" fontId="1" fillId="9" borderId="0" xfId="1" applyFont="1" applyFill="1" applyBorder="1"/>
    <xf numFmtId="169" fontId="1" fillId="9" borderId="0" xfId="1" applyNumberFormat="1" applyFont="1" applyFill="1" applyBorder="1"/>
    <xf numFmtId="0" fontId="0" fillId="9" borderId="0" xfId="0" applyFill="1" applyBorder="1"/>
    <xf numFmtId="43" fontId="0" fillId="9" borderId="0" xfId="0" applyNumberFormat="1" applyFill="1" applyBorder="1"/>
    <xf numFmtId="169" fontId="0" fillId="9" borderId="0" xfId="0" applyNumberFormat="1" applyFill="1" applyBorder="1"/>
    <xf numFmtId="0" fontId="3" fillId="9" borderId="0" xfId="0" applyFont="1" applyFill="1" applyBorder="1"/>
    <xf numFmtId="169" fontId="3" fillId="9" borderId="0" xfId="0" applyNumberFormat="1" applyFont="1" applyFill="1" applyBorder="1"/>
    <xf numFmtId="169" fontId="0" fillId="9" borderId="0" xfId="0" applyNumberFormat="1" applyFill="1"/>
    <xf numFmtId="2" fontId="2" fillId="9" borderId="2" xfId="0" applyNumberFormat="1" applyFont="1" applyFill="1" applyBorder="1" applyAlignment="1">
      <alignment horizontal="center"/>
    </xf>
    <xf numFmtId="2" fontId="2" fillId="10" borderId="2" xfId="0" applyNumberFormat="1" applyFont="1" applyFill="1" applyBorder="1" applyAlignment="1" applyProtection="1">
      <alignment horizontal="center" vertical="center"/>
      <protection locked="0"/>
    </xf>
    <xf numFmtId="0" fontId="3" fillId="10" borderId="2" xfId="0" applyFont="1" applyFill="1" applyBorder="1" applyAlignment="1">
      <alignment horizontal="center" vertical="center"/>
    </xf>
    <xf numFmtId="170" fontId="2" fillId="10" borderId="2" xfId="0" applyNumberFormat="1" applyFont="1" applyFill="1" applyBorder="1" applyAlignment="1" applyProtection="1">
      <alignment horizontal="center" vertical="center"/>
      <protection locked="0"/>
    </xf>
    <xf numFmtId="170" fontId="20" fillId="10" borderId="2" xfId="0" applyNumberFormat="1" applyFont="1" applyFill="1" applyBorder="1" applyAlignment="1" applyProtection="1">
      <alignment horizontal="center" vertical="center"/>
      <protection locked="0"/>
    </xf>
    <xf numFmtId="0" fontId="12" fillId="10" borderId="2" xfId="0" applyFont="1" applyFill="1" applyBorder="1" applyAlignment="1" applyProtection="1">
      <alignment horizontal="center" vertical="center"/>
      <protection locked="0"/>
    </xf>
    <xf numFmtId="169" fontId="2" fillId="10" borderId="17" xfId="0" applyNumberFormat="1" applyFont="1" applyFill="1" applyBorder="1" applyAlignment="1">
      <alignment horizontal="right" vertical="center"/>
    </xf>
    <xf numFmtId="2" fontId="2" fillId="11" borderId="2" xfId="0" applyNumberFormat="1" applyFont="1" applyFill="1" applyBorder="1" applyAlignment="1" applyProtection="1">
      <alignment horizontal="center" vertical="center"/>
      <protection locked="0"/>
    </xf>
    <xf numFmtId="0" fontId="3" fillId="11" borderId="2" xfId="0" applyFont="1" applyFill="1" applyBorder="1" applyAlignment="1">
      <alignment horizontal="center" vertical="center"/>
    </xf>
    <xf numFmtId="170" fontId="2" fillId="11" borderId="2" xfId="0" applyNumberFormat="1" applyFont="1" applyFill="1" applyBorder="1" applyAlignment="1" applyProtection="1">
      <alignment horizontal="center" vertical="center"/>
      <protection locked="0"/>
    </xf>
    <xf numFmtId="0" fontId="12" fillId="11" borderId="2" xfId="0" applyFont="1" applyFill="1" applyBorder="1" applyAlignment="1" applyProtection="1">
      <alignment horizontal="center" vertical="center"/>
      <protection locked="0"/>
    </xf>
    <xf numFmtId="169" fontId="2" fillId="11" borderId="17" xfId="0" applyNumberFormat="1" applyFont="1" applyFill="1" applyBorder="1" applyAlignment="1">
      <alignment horizontal="right" vertical="center"/>
    </xf>
    <xf numFmtId="0" fontId="0" fillId="11" borderId="2" xfId="0" applyFill="1" applyBorder="1"/>
    <xf numFmtId="2" fontId="15" fillId="12" borderId="2" xfId="0" applyNumberFormat="1" applyFont="1" applyFill="1" applyBorder="1" applyAlignment="1" applyProtection="1">
      <alignment horizontal="center" vertical="center"/>
      <protection locked="0"/>
    </xf>
    <xf numFmtId="0" fontId="14" fillId="12" borderId="2" xfId="0" applyFont="1" applyFill="1" applyBorder="1" applyAlignment="1">
      <alignment horizontal="center" vertical="center"/>
    </xf>
    <xf numFmtId="170" fontId="15" fillId="12" borderId="2" xfId="0" applyNumberFormat="1" applyFont="1" applyFill="1" applyBorder="1" applyAlignment="1" applyProtection="1">
      <alignment horizontal="center" vertical="center"/>
      <protection locked="0"/>
    </xf>
    <xf numFmtId="2" fontId="2" fillId="12" borderId="2" xfId="0" applyNumberFormat="1" applyFont="1" applyFill="1" applyBorder="1"/>
    <xf numFmtId="0" fontId="0" fillId="12" borderId="2" xfId="0" applyFill="1" applyBorder="1"/>
    <xf numFmtId="2" fontId="2" fillId="12" borderId="2" xfId="0" applyNumberFormat="1" applyFont="1" applyFill="1" applyBorder="1" applyAlignment="1">
      <alignment horizontal="center"/>
    </xf>
    <xf numFmtId="2" fontId="2" fillId="13" borderId="2" xfId="0" applyNumberFormat="1" applyFont="1" applyFill="1" applyBorder="1" applyAlignment="1" applyProtection="1">
      <alignment horizontal="center" vertical="center"/>
      <protection locked="0"/>
    </xf>
    <xf numFmtId="0" fontId="3" fillId="13" borderId="2" xfId="0" applyFont="1" applyFill="1" applyBorder="1" applyAlignment="1">
      <alignment horizontal="center" vertical="center"/>
    </xf>
    <xf numFmtId="170" fontId="2" fillId="13" borderId="2" xfId="0" applyNumberFormat="1" applyFont="1" applyFill="1" applyBorder="1" applyAlignment="1" applyProtection="1">
      <alignment horizontal="center" vertical="center"/>
      <protection locked="0"/>
    </xf>
    <xf numFmtId="2" fontId="12" fillId="13" borderId="2" xfId="0" applyNumberFormat="1" applyFont="1" applyFill="1" applyBorder="1" applyAlignment="1" applyProtection="1">
      <alignment horizontal="center" vertical="center"/>
      <protection locked="0"/>
    </xf>
    <xf numFmtId="0" fontId="12" fillId="13" borderId="2" xfId="0" applyFont="1" applyFill="1" applyBorder="1" applyAlignment="1" applyProtection="1">
      <alignment horizontal="center" vertical="center"/>
      <protection locked="0"/>
    </xf>
    <xf numFmtId="169" fontId="3" fillId="13" borderId="2" xfId="0" applyNumberFormat="1" applyFont="1" applyFill="1" applyBorder="1" applyAlignment="1">
      <alignment horizontal="right" vertical="center"/>
    </xf>
    <xf numFmtId="168" fontId="3" fillId="13" borderId="2" xfId="0" applyNumberFormat="1" applyFont="1" applyFill="1" applyBorder="1" applyAlignment="1">
      <alignment horizontal="right" vertical="center"/>
    </xf>
    <xf numFmtId="169" fontId="2" fillId="13" borderId="2" xfId="0" applyNumberFormat="1" applyFont="1" applyFill="1" applyBorder="1" applyAlignment="1">
      <alignment horizontal="right" vertical="center"/>
    </xf>
    <xf numFmtId="169" fontId="2" fillId="13" borderId="17" xfId="0" applyNumberFormat="1" applyFont="1" applyFill="1" applyBorder="1" applyAlignment="1">
      <alignment horizontal="right" vertical="center"/>
    </xf>
    <xf numFmtId="170" fontId="21" fillId="11" borderId="2" xfId="0" applyNumberFormat="1" applyFont="1" applyFill="1" applyBorder="1" applyAlignment="1" applyProtection="1">
      <alignment horizontal="center" vertical="center"/>
      <protection locked="0"/>
    </xf>
    <xf numFmtId="170" fontId="21" fillId="13" borderId="2" xfId="0" applyNumberFormat="1" applyFont="1" applyFill="1" applyBorder="1" applyAlignment="1" applyProtection="1">
      <alignment horizontal="center" vertical="center"/>
      <protection locked="0"/>
    </xf>
    <xf numFmtId="170" fontId="21" fillId="12" borderId="2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Border="1" applyAlignment="1" applyProtection="1">
      <alignment horizontal="center"/>
    </xf>
    <xf numFmtId="0" fontId="3" fillId="0" borderId="0" xfId="0" applyFont="1" applyFill="1" applyBorder="1" applyAlignment="1">
      <alignment horizontal="center" vertical="center"/>
    </xf>
    <xf numFmtId="169" fontId="3" fillId="0" borderId="0" xfId="0" applyNumberFormat="1" applyFont="1" applyFill="1" applyBorder="1" applyAlignment="1">
      <alignment horizontal="right" vertical="center"/>
    </xf>
    <xf numFmtId="171" fontId="0" fillId="0" borderId="0" xfId="0" applyNumberFormat="1" applyFont="1" applyFill="1" applyBorder="1" applyAlignment="1">
      <alignment horizontal="center" vertical="center" wrapText="1"/>
    </xf>
    <xf numFmtId="170" fontId="16" fillId="0" borderId="0" xfId="0" applyNumberFormat="1" applyFont="1" applyFill="1" applyBorder="1" applyAlignment="1">
      <alignment horizontal="center" vertical="center"/>
    </xf>
    <xf numFmtId="170" fontId="17" fillId="0" borderId="0" xfId="0" applyNumberFormat="1" applyFont="1" applyFill="1" applyBorder="1"/>
    <xf numFmtId="170" fontId="17" fillId="0" borderId="0" xfId="0" applyNumberFormat="1" applyFont="1" applyFill="1"/>
    <xf numFmtId="171" fontId="0" fillId="14" borderId="0" xfId="0" applyNumberFormat="1" applyFont="1" applyFill="1" applyBorder="1" applyAlignment="1">
      <alignment horizontal="center" vertical="center" wrapText="1"/>
    </xf>
    <xf numFmtId="170" fontId="16" fillId="14" borderId="0" xfId="0" applyNumberFormat="1" applyFont="1" applyFill="1" applyBorder="1" applyAlignment="1">
      <alignment horizontal="center" vertical="center"/>
    </xf>
    <xf numFmtId="170" fontId="17" fillId="14" borderId="0" xfId="0" applyNumberFormat="1" applyFont="1" applyFill="1"/>
    <xf numFmtId="2" fontId="21" fillId="12" borderId="2" xfId="0" applyNumberFormat="1" applyFont="1" applyFill="1" applyBorder="1" applyAlignment="1" applyProtection="1">
      <alignment horizontal="center" vertical="center"/>
      <protection locked="0"/>
    </xf>
    <xf numFmtId="0" fontId="22" fillId="12" borderId="2" xfId="0" applyFont="1" applyFill="1" applyBorder="1" applyAlignment="1">
      <alignment horizontal="center" vertical="center"/>
    </xf>
    <xf numFmtId="170" fontId="21" fillId="15" borderId="2" xfId="0" applyNumberFormat="1" applyFont="1" applyFill="1" applyBorder="1" applyAlignment="1" applyProtection="1">
      <alignment horizontal="center" vertical="center"/>
      <protection locked="0"/>
    </xf>
    <xf numFmtId="0" fontId="21" fillId="12" borderId="2" xfId="0" applyFont="1" applyFill="1" applyBorder="1" applyAlignment="1" applyProtection="1">
      <alignment horizontal="center" vertical="center"/>
      <protection locked="0"/>
    </xf>
    <xf numFmtId="169" fontId="21" fillId="15" borderId="17" xfId="0" applyNumberFormat="1" applyFont="1" applyFill="1" applyBorder="1" applyAlignment="1">
      <alignment horizontal="right" vertical="center"/>
    </xf>
    <xf numFmtId="0" fontId="0" fillId="0" borderId="2" xfId="0" applyFont="1" applyBorder="1" applyAlignment="1" applyProtection="1">
      <alignment horizontal="center"/>
      <protection locked="0"/>
    </xf>
    <xf numFmtId="171" fontId="3" fillId="0" borderId="0" xfId="0" applyNumberFormat="1" applyFont="1" applyFill="1" applyBorder="1" applyAlignment="1">
      <alignment horizontal="center" vertical="center" wrapText="1"/>
    </xf>
    <xf numFmtId="169" fontId="2" fillId="0" borderId="0" xfId="0" applyNumberFormat="1" applyFont="1" applyFill="1" applyBorder="1" applyAlignment="1">
      <alignment horizontal="right" vertical="center"/>
    </xf>
    <xf numFmtId="169" fontId="2" fillId="9" borderId="0" xfId="0" applyNumberFormat="1" applyFont="1" applyFill="1" applyBorder="1" applyAlignment="1">
      <alignment horizontal="right" vertical="center"/>
    </xf>
    <xf numFmtId="169" fontId="2" fillId="10" borderId="0" xfId="0" applyNumberFormat="1" applyFont="1" applyFill="1" applyBorder="1" applyAlignment="1">
      <alignment horizontal="right" vertical="center"/>
    </xf>
    <xf numFmtId="169" fontId="2" fillId="11" borderId="0" xfId="0" applyNumberFormat="1" applyFont="1" applyFill="1" applyBorder="1" applyAlignment="1">
      <alignment horizontal="right" vertical="center"/>
    </xf>
    <xf numFmtId="169" fontId="21" fillId="15" borderId="2" xfId="0" applyNumberFormat="1" applyFont="1" applyFill="1" applyBorder="1" applyAlignment="1">
      <alignment horizontal="center" vertical="center"/>
    </xf>
    <xf numFmtId="169" fontId="15" fillId="8" borderId="2" xfId="0" applyNumberFormat="1" applyFont="1" applyFill="1" applyBorder="1" applyAlignment="1">
      <alignment horizontal="center" vertical="center"/>
    </xf>
    <xf numFmtId="169" fontId="2" fillId="9" borderId="2" xfId="0" applyNumberFormat="1" applyFont="1" applyFill="1" applyBorder="1" applyAlignment="1">
      <alignment horizontal="center" vertical="center"/>
    </xf>
    <xf numFmtId="169" fontId="2" fillId="10" borderId="2" xfId="0" applyNumberFormat="1" applyFont="1" applyFill="1" applyBorder="1" applyAlignment="1">
      <alignment horizontal="center" vertical="center"/>
    </xf>
    <xf numFmtId="169" fontId="2" fillId="11" borderId="2" xfId="0" applyNumberFormat="1" applyFont="1" applyFill="1" applyBorder="1" applyAlignment="1">
      <alignment horizontal="center" vertical="center"/>
    </xf>
    <xf numFmtId="2" fontId="2" fillId="16" borderId="2" xfId="0" applyNumberFormat="1" applyFont="1" applyFill="1" applyBorder="1" applyAlignment="1" applyProtection="1">
      <alignment horizontal="center" vertical="center"/>
      <protection locked="0"/>
    </xf>
    <xf numFmtId="0" fontId="0" fillId="16" borderId="2" xfId="0" applyFont="1" applyFill="1" applyBorder="1" applyAlignment="1">
      <alignment horizontal="center" vertical="center"/>
    </xf>
    <xf numFmtId="170" fontId="2" fillId="16" borderId="2" xfId="0" applyNumberFormat="1" applyFont="1" applyFill="1" applyBorder="1" applyAlignment="1" applyProtection="1">
      <alignment horizontal="center" vertical="center"/>
      <protection locked="0"/>
    </xf>
    <xf numFmtId="169" fontId="0" fillId="16" borderId="2" xfId="0" applyNumberFormat="1" applyFont="1" applyFill="1" applyBorder="1" applyAlignment="1">
      <alignment horizontal="right" vertical="center"/>
    </xf>
    <xf numFmtId="169" fontId="2" fillId="16" borderId="2" xfId="0" applyNumberFormat="1" applyFont="1" applyFill="1" applyBorder="1" applyAlignment="1">
      <alignment horizontal="center" vertical="center"/>
    </xf>
    <xf numFmtId="169" fontId="2" fillId="16" borderId="17" xfId="0" applyNumberFormat="1" applyFont="1" applyFill="1" applyBorder="1" applyAlignment="1">
      <alignment horizontal="right" vertical="center"/>
    </xf>
    <xf numFmtId="169" fontId="2" fillId="16" borderId="0" xfId="0" applyNumberFormat="1" applyFont="1" applyFill="1" applyBorder="1" applyAlignment="1">
      <alignment horizontal="right" vertical="center"/>
    </xf>
    <xf numFmtId="170" fontId="17" fillId="9" borderId="0" xfId="0" applyNumberFormat="1" applyFont="1" applyFill="1"/>
    <xf numFmtId="170" fontId="0" fillId="9" borderId="0" xfId="0" applyNumberFormat="1" applyFill="1"/>
    <xf numFmtId="170" fontId="19" fillId="9" borderId="0" xfId="0" applyNumberFormat="1" applyFont="1" applyFill="1"/>
    <xf numFmtId="2" fontId="2" fillId="15" borderId="2" xfId="0" applyNumberFormat="1" applyFont="1" applyFill="1" applyBorder="1" applyAlignment="1" applyProtection="1">
      <alignment horizontal="center" vertical="center"/>
      <protection locked="0"/>
    </xf>
    <xf numFmtId="169" fontId="2" fillId="15" borderId="2" xfId="0" applyNumberFormat="1" applyFont="1" applyFill="1" applyBorder="1" applyAlignment="1">
      <alignment horizontal="center" vertical="center"/>
    </xf>
    <xf numFmtId="169" fontId="2" fillId="15" borderId="17" xfId="0" applyNumberFormat="1" applyFont="1" applyFill="1" applyBorder="1" applyAlignment="1">
      <alignment horizontal="right" vertical="center"/>
    </xf>
    <xf numFmtId="170" fontId="20" fillId="15" borderId="2" xfId="0" applyNumberFormat="1" applyFont="1" applyFill="1" applyBorder="1" applyAlignment="1" applyProtection="1">
      <alignment horizontal="center" vertical="center"/>
      <protection locked="0"/>
    </xf>
    <xf numFmtId="169" fontId="21" fillId="0" borderId="0" xfId="0" applyNumberFormat="1" applyFont="1" applyFill="1" applyBorder="1" applyAlignment="1">
      <alignment horizontal="right" vertical="center"/>
    </xf>
    <xf numFmtId="169" fontId="15" fillId="0" borderId="0" xfId="0" applyNumberFormat="1" applyFont="1" applyFill="1" applyBorder="1" applyAlignment="1">
      <alignment horizontal="right" vertical="center"/>
    </xf>
    <xf numFmtId="171" fontId="0" fillId="0" borderId="0" xfId="0" applyNumberFormat="1" applyFont="1" applyBorder="1" applyAlignment="1">
      <alignment horizontal="center" vertical="center" wrapText="1"/>
    </xf>
    <xf numFmtId="0" fontId="0" fillId="0" borderId="0" xfId="0" applyFont="1" applyFill="1" applyBorder="1" applyAlignment="1">
      <alignment horizontal="center" vertical="center"/>
    </xf>
    <xf numFmtId="0" fontId="3" fillId="5" borderId="19" xfId="0" applyFont="1" applyFill="1" applyBorder="1" applyAlignment="1" applyProtection="1">
      <alignment horizontal="center"/>
    </xf>
    <xf numFmtId="0" fontId="3" fillId="5" borderId="20" xfId="0" applyFont="1" applyFill="1" applyBorder="1" applyAlignment="1" applyProtection="1">
      <alignment horizontal="center"/>
    </xf>
    <xf numFmtId="0" fontId="3" fillId="5" borderId="21" xfId="0" applyFont="1" applyFill="1" applyBorder="1" applyAlignment="1" applyProtection="1">
      <alignment horizontal="center"/>
    </xf>
    <xf numFmtId="0" fontId="0" fillId="9" borderId="18" xfId="0" applyFont="1" applyFill="1" applyBorder="1" applyAlignment="1">
      <alignment horizontal="center" vertical="center"/>
    </xf>
    <xf numFmtId="169" fontId="2" fillId="0" borderId="2" xfId="0" applyNumberFormat="1" applyFont="1" applyFill="1" applyBorder="1" applyAlignment="1" applyProtection="1">
      <alignment horizontal="center" vertical="center"/>
      <protection locked="0"/>
    </xf>
    <xf numFmtId="169" fontId="2" fillId="9" borderId="2" xfId="0" applyNumberFormat="1" applyFont="1" applyFill="1" applyBorder="1" applyAlignment="1" applyProtection="1">
      <alignment horizontal="center" vertical="center"/>
      <protection locked="0"/>
    </xf>
    <xf numFmtId="169" fontId="2" fillId="10" borderId="2" xfId="0" applyNumberFormat="1" applyFont="1" applyFill="1" applyBorder="1" applyAlignment="1" applyProtection="1">
      <alignment horizontal="center" vertical="center"/>
      <protection locked="0"/>
    </xf>
    <xf numFmtId="169" fontId="2" fillId="16" borderId="2" xfId="0" applyNumberFormat="1" applyFont="1" applyFill="1" applyBorder="1" applyAlignment="1" applyProtection="1">
      <alignment horizontal="center" vertical="center"/>
      <protection locked="0"/>
    </xf>
    <xf numFmtId="169" fontId="2" fillId="11" borderId="2" xfId="0" applyNumberFormat="1" applyFont="1" applyFill="1" applyBorder="1" applyAlignment="1" applyProtection="1">
      <alignment horizontal="center" vertical="center"/>
      <protection locked="0"/>
    </xf>
    <xf numFmtId="1" fontId="2" fillId="0" borderId="2" xfId="0" applyNumberFormat="1" applyFont="1" applyFill="1" applyBorder="1" applyAlignment="1" applyProtection="1">
      <alignment horizontal="center" vertical="center"/>
      <protection locked="0"/>
    </xf>
    <xf numFmtId="1" fontId="2" fillId="13" borderId="2" xfId="0" applyNumberFormat="1" applyFont="1" applyFill="1" applyBorder="1" applyAlignment="1" applyProtection="1">
      <alignment horizontal="center" vertical="center"/>
      <protection locked="0"/>
    </xf>
    <xf numFmtId="1" fontId="2" fillId="15" borderId="2" xfId="0" applyNumberFormat="1" applyFont="1" applyFill="1" applyBorder="1" applyAlignment="1" applyProtection="1">
      <alignment horizontal="center" vertical="center"/>
      <protection locked="0"/>
    </xf>
    <xf numFmtId="1" fontId="2" fillId="8" borderId="2" xfId="0" applyNumberFormat="1" applyFont="1" applyFill="1" applyBorder="1" applyAlignment="1" applyProtection="1">
      <alignment horizontal="center" vertical="center"/>
      <protection locked="0"/>
    </xf>
    <xf numFmtId="1" fontId="2" fillId="9" borderId="2" xfId="0" applyNumberFormat="1" applyFont="1" applyFill="1" applyBorder="1" applyAlignment="1" applyProtection="1">
      <alignment horizontal="center" vertical="center"/>
      <protection locked="0"/>
    </xf>
    <xf numFmtId="1" fontId="2" fillId="10" borderId="2" xfId="0" applyNumberFormat="1" applyFont="1" applyFill="1" applyBorder="1" applyAlignment="1" applyProtection="1">
      <alignment horizontal="center" vertical="center"/>
      <protection locked="0"/>
    </xf>
    <xf numFmtId="1" fontId="2" fillId="16" borderId="2" xfId="0" applyNumberFormat="1" applyFont="1" applyFill="1" applyBorder="1" applyAlignment="1" applyProtection="1">
      <alignment horizontal="center" vertical="center"/>
      <protection locked="0"/>
    </xf>
    <xf numFmtId="1" fontId="2" fillId="11" borderId="2" xfId="0" applyNumberFormat="1" applyFont="1" applyFill="1" applyBorder="1" applyAlignment="1" applyProtection="1">
      <alignment horizontal="center" vertical="center"/>
      <protection locked="0"/>
    </xf>
    <xf numFmtId="0" fontId="23" fillId="0" borderId="0" xfId="0" applyFont="1" applyFill="1" applyBorder="1" applyProtection="1">
      <protection locked="0"/>
    </xf>
    <xf numFmtId="0" fontId="23" fillId="0" borderId="0" xfId="0" applyFont="1"/>
    <xf numFmtId="0" fontId="23" fillId="5" borderId="0" xfId="0" applyFont="1" applyFill="1" applyBorder="1" applyAlignment="1">
      <alignment horizontal="center" vertical="center" wrapText="1"/>
    </xf>
    <xf numFmtId="169" fontId="21" fillId="12" borderId="2" xfId="0" applyNumberFormat="1" applyFont="1" applyFill="1" applyBorder="1" applyAlignment="1" applyProtection="1">
      <alignment horizontal="center" vertical="center"/>
      <protection locked="0"/>
    </xf>
    <xf numFmtId="169" fontId="2" fillId="9" borderId="2" xfId="0" applyNumberFormat="1" applyFont="1" applyFill="1" applyBorder="1" applyAlignment="1">
      <alignment horizontal="center"/>
    </xf>
    <xf numFmtId="170" fontId="3" fillId="0" borderId="2" xfId="0" applyNumberFormat="1" applyFont="1" applyFill="1" applyBorder="1" applyAlignment="1">
      <alignment vertical="center"/>
    </xf>
    <xf numFmtId="170" fontId="3" fillId="13" borderId="2" xfId="0" applyNumberFormat="1" applyFont="1" applyFill="1" applyBorder="1" applyAlignment="1">
      <alignment vertical="center"/>
    </xf>
    <xf numFmtId="170" fontId="21" fillId="12" borderId="2" xfId="0" applyNumberFormat="1" applyFont="1" applyFill="1" applyBorder="1" applyAlignment="1" applyProtection="1">
      <alignment vertical="center"/>
      <protection locked="0"/>
    </xf>
    <xf numFmtId="170" fontId="15" fillId="8" borderId="2" xfId="0" applyNumberFormat="1" applyFont="1" applyFill="1" applyBorder="1" applyAlignment="1" applyProtection="1">
      <alignment vertical="center"/>
      <protection locked="0"/>
    </xf>
    <xf numFmtId="170" fontId="2" fillId="9" borderId="2" xfId="0" applyNumberFormat="1" applyFont="1" applyFill="1" applyBorder="1" applyAlignment="1" applyProtection="1">
      <alignment vertical="center"/>
      <protection locked="0"/>
    </xf>
    <xf numFmtId="170" fontId="2" fillId="10" borderId="2" xfId="0" applyNumberFormat="1" applyFont="1" applyFill="1" applyBorder="1" applyAlignment="1" applyProtection="1">
      <alignment vertical="center"/>
      <protection locked="0"/>
    </xf>
    <xf numFmtId="170" fontId="2" fillId="16" borderId="2" xfId="0" applyNumberFormat="1" applyFont="1" applyFill="1" applyBorder="1" applyAlignment="1" applyProtection="1">
      <alignment vertical="center"/>
      <protection locked="0"/>
    </xf>
    <xf numFmtId="170" fontId="2" fillId="11" borderId="2" xfId="0" applyNumberFormat="1" applyFont="1" applyFill="1" applyBorder="1" applyAlignment="1" applyProtection="1">
      <alignment vertical="center"/>
      <protection locked="0"/>
    </xf>
    <xf numFmtId="170" fontId="2" fillId="12" borderId="2" xfId="0" applyNumberFormat="1" applyFont="1" applyFill="1" applyBorder="1" applyAlignment="1"/>
    <xf numFmtId="170" fontId="2" fillId="9" borderId="2" xfId="0" applyNumberFormat="1" applyFont="1" applyFill="1" applyBorder="1" applyAlignment="1"/>
    <xf numFmtId="0" fontId="0" fillId="0" borderId="18" xfId="0" applyFont="1" applyFill="1" applyBorder="1" applyAlignment="1">
      <alignment horizontal="center" vertical="center"/>
    </xf>
    <xf numFmtId="170" fontId="2" fillId="0" borderId="2" xfId="0" applyNumberFormat="1" applyFont="1" applyFill="1" applyBorder="1" applyAlignment="1" applyProtection="1">
      <alignment vertical="center"/>
      <protection locked="0"/>
    </xf>
    <xf numFmtId="11" fontId="2" fillId="9" borderId="2" xfId="0" applyNumberFormat="1" applyFont="1" applyFill="1" applyBorder="1" applyAlignment="1" applyProtection="1">
      <alignment vertical="center"/>
      <protection locked="0"/>
    </xf>
    <xf numFmtId="11" fontId="0" fillId="0" borderId="0" xfId="0" applyNumberFormat="1"/>
    <xf numFmtId="0" fontId="3" fillId="9" borderId="0" xfId="0" applyFont="1" applyFill="1" applyBorder="1" applyAlignment="1">
      <alignment horizontal="center" vertical="center"/>
    </xf>
    <xf numFmtId="169" fontId="12" fillId="0" borderId="2" xfId="0" applyNumberFormat="1" applyFont="1" applyFill="1" applyBorder="1" applyAlignment="1" applyProtection="1">
      <alignment horizontal="center" vertical="center"/>
      <protection locked="0"/>
    </xf>
    <xf numFmtId="169" fontId="12" fillId="13" borderId="2" xfId="0" applyNumberFormat="1" applyFont="1" applyFill="1" applyBorder="1" applyAlignment="1" applyProtection="1">
      <alignment horizontal="center" vertical="center"/>
      <protection locked="0"/>
    </xf>
    <xf numFmtId="169" fontId="2" fillId="12" borderId="2" xfId="0" applyNumberFormat="1" applyFont="1" applyFill="1" applyBorder="1"/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  <c:spPr>
        <a:noFill/>
        <a:ln w="25400">
          <a:noFill/>
        </a:ln>
      </c:spPr>
      <c:txPr>
        <a:bodyPr/>
        <a:lstStyle/>
        <a:p>
          <a:pPr algn="ctr" rtl="0">
            <a:defRPr sz="18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Fe Energies</c:v>
          </c:tx>
          <c:spPr>
            <a:ln w="47625">
              <a:noFill/>
            </a:ln>
          </c:spPr>
          <c:marker>
            <c:spPr>
              <a:gradFill rotWithShape="0">
                <a:gsLst>
                  <a:gs pos="0">
                    <a:srgbClr val="9BC1FF"/>
                  </a:gs>
                  <a:gs pos="100000">
                    <a:srgbClr val="3F80CD"/>
                  </a:gs>
                </a:gsLst>
                <a:lin ang="5400000"/>
              </a:gradFill>
              <a:ln>
                <a:solidFill>
                  <a:srgbClr val="666699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xVal>
            <c:numRef>
              <c:f>'Thick Water'!$Q$2:$Q$11</c:f>
              <c:numCache>
                <c:formatCode>0.000</c:formatCode>
                <c:ptCount val="10"/>
                <c:pt idx="0">
                  <c:v>8.3410000000000011</c:v>
                </c:pt>
                <c:pt idx="1">
                  <c:v>13.451000000000004</c:v>
                </c:pt>
                <c:pt idx="2">
                  <c:v>18.151</c:v>
                </c:pt>
                <c:pt idx="3">
                  <c:v>21.820999999999991</c:v>
                </c:pt>
                <c:pt idx="4">
                  <c:v>25.440999999999981</c:v>
                </c:pt>
                <c:pt idx="5">
                  <c:v>29.050999999999974</c:v>
                </c:pt>
              </c:numCache>
            </c:numRef>
          </c:xVal>
          <c:yVal>
            <c:numRef>
              <c:f>'Thick Water'!$R$2:$R$11</c:f>
              <c:numCache>
                <c:formatCode>0.000</c:formatCode>
                <c:ptCount val="10"/>
                <c:pt idx="0">
                  <c:v>90.19551909852521</c:v>
                </c:pt>
                <c:pt idx="1">
                  <c:v>81.04964623899258</c:v>
                </c:pt>
                <c:pt idx="2">
                  <c:v>71.893724689300853</c:v>
                </c:pt>
                <c:pt idx="3">
                  <c:v>64.080418038387137</c:v>
                </c:pt>
                <c:pt idx="4">
                  <c:v>55.579412595067581</c:v>
                </c:pt>
                <c:pt idx="5">
                  <c:v>45.965336176106476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05-4DE3-B7BD-84EA812717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462952"/>
        <c:axId val="1"/>
      </c:scatterChart>
      <c:valAx>
        <c:axId val="184462952"/>
        <c:scaling>
          <c:orientation val="minMax"/>
        </c:scaling>
        <c:delete val="0"/>
        <c:axPos val="b"/>
        <c:numFmt formatCode="0.000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0.000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crossAx val="184462952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333375</xdr:colOff>
      <xdr:row>13</xdr:row>
      <xdr:rowOff>152400</xdr:rowOff>
    </xdr:from>
    <xdr:to>
      <xdr:col>21</xdr:col>
      <xdr:colOff>485775</xdr:colOff>
      <xdr:row>44</xdr:row>
      <xdr:rowOff>114300</xdr:rowOff>
    </xdr:to>
    <xdr:graphicFrame macro="">
      <xdr:nvGraphicFramePr>
        <xdr:cNvPr id="2063" name="Chart 1">
          <a:extLst>
            <a:ext uri="{FF2B5EF4-FFF2-40B4-BE49-F238E27FC236}">
              <a16:creationId xmlns:a16="http://schemas.microsoft.com/office/drawing/2014/main" id="{71E58285-A7C5-40DE-B15D-13FE1047AA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U79"/>
  <sheetViews>
    <sheetView zoomScale="90" zoomScaleNormal="90" workbookViewId="0">
      <selection activeCell="A7" sqref="A7:H73"/>
    </sheetView>
  </sheetViews>
  <sheetFormatPr defaultRowHeight="15" x14ac:dyDescent="0.2"/>
  <cols>
    <col min="1" max="2" width="8.85546875" customWidth="1"/>
    <col min="3" max="3" width="9.42578125" customWidth="1"/>
    <col min="4" max="4" width="10" style="5" customWidth="1"/>
    <col min="5" max="5" width="10" style="132" customWidth="1"/>
    <col min="6" max="6" width="9.28515625" customWidth="1"/>
    <col min="7" max="7" width="8.42578125" bestFit="1" customWidth="1"/>
    <col min="8" max="8" width="8.85546875" customWidth="1"/>
    <col min="9" max="9" width="9.42578125" bestFit="1" customWidth="1"/>
    <col min="10" max="13" width="8.85546875" customWidth="1"/>
    <col min="14" max="14" width="8.85546875" style="11" customWidth="1"/>
    <col min="15" max="15" width="16.140625" style="194" bestFit="1" customWidth="1"/>
    <col min="16" max="16" width="12" style="148" bestFit="1" customWidth="1"/>
    <col min="17" max="17" width="12.140625" style="156" bestFit="1" customWidth="1"/>
    <col min="18" max="18" width="12.7109375" style="148" bestFit="1" customWidth="1"/>
    <col min="19" max="19" width="12.140625" style="148" bestFit="1" customWidth="1"/>
    <col min="20" max="256" width="11.42578125" style="148" customWidth="1"/>
    <col min="257" max="16384" width="9.140625" style="148"/>
  </cols>
  <sheetData>
    <row r="1" spans="1:21" ht="15.75" x14ac:dyDescent="0.2">
      <c r="A1" s="28" t="s">
        <v>176</v>
      </c>
      <c r="B1" s="27"/>
      <c r="C1" s="28" t="s">
        <v>179</v>
      </c>
      <c r="D1" s="90"/>
      <c r="E1" s="123"/>
      <c r="F1" s="27"/>
      <c r="G1" s="27"/>
      <c r="H1" s="27"/>
      <c r="I1" s="27"/>
      <c r="J1" s="27"/>
      <c r="K1" s="27"/>
      <c r="L1" s="27"/>
      <c r="M1" s="27"/>
      <c r="N1" s="89"/>
      <c r="O1" s="192"/>
      <c r="P1" s="156" t="s">
        <v>178</v>
      </c>
      <c r="Q1" s="156" t="s">
        <v>174</v>
      </c>
      <c r="R1" s="148" t="s">
        <v>175</v>
      </c>
    </row>
    <row r="2" spans="1:21" ht="15.75" x14ac:dyDescent="0.2">
      <c r="A2" s="29"/>
      <c r="B2" s="30" t="s">
        <v>128</v>
      </c>
      <c r="C2" s="31"/>
      <c r="D2" s="91"/>
      <c r="E2" s="124"/>
      <c r="F2" s="29"/>
      <c r="G2" s="29"/>
      <c r="H2" s="29"/>
      <c r="I2" s="29"/>
      <c r="J2" s="27"/>
      <c r="K2" s="27"/>
      <c r="L2" s="27"/>
      <c r="M2" s="27"/>
      <c r="N2" s="89"/>
      <c r="O2" s="192"/>
      <c r="Q2" s="156">
        <f>E21</f>
        <v>8.3410000000000011</v>
      </c>
      <c r="R2" s="156">
        <f>J21</f>
        <v>90.19551909852521</v>
      </c>
    </row>
    <row r="3" spans="1:21" ht="25.5" x14ac:dyDescent="0.2">
      <c r="A3" s="29"/>
      <c r="B3" s="32" t="s">
        <v>112</v>
      </c>
      <c r="C3" s="33" t="s">
        <v>117</v>
      </c>
      <c r="D3" s="92" t="s">
        <v>115</v>
      </c>
      <c r="E3" s="125"/>
      <c r="F3" s="29"/>
      <c r="G3" s="33" t="s">
        <v>116</v>
      </c>
      <c r="H3" s="33" t="s">
        <v>118</v>
      </c>
      <c r="I3" s="27"/>
      <c r="J3" s="27"/>
      <c r="K3" s="27"/>
      <c r="L3" s="27"/>
      <c r="M3" s="27"/>
      <c r="N3" s="89"/>
      <c r="O3" s="192"/>
      <c r="P3" s="151"/>
      <c r="Q3" s="153">
        <f>E31</f>
        <v>13.451000000000004</v>
      </c>
      <c r="R3" s="153">
        <f>J31</f>
        <v>81.04964623899258</v>
      </c>
      <c r="S3" s="153"/>
      <c r="T3" s="151"/>
      <c r="U3" s="151"/>
    </row>
    <row r="4" spans="1:21" ht="15.75" x14ac:dyDescent="0.2">
      <c r="A4" s="29"/>
      <c r="B4" s="34" t="s">
        <v>16</v>
      </c>
      <c r="C4" s="73">
        <v>1</v>
      </c>
      <c r="D4" s="93">
        <f>VLOOKUP(C4,Hcoeff,15)</f>
        <v>1.008</v>
      </c>
      <c r="E4" s="126"/>
      <c r="F4" s="29"/>
      <c r="G4" s="203">
        <v>99.6</v>
      </c>
      <c r="H4" s="34">
        <v>100</v>
      </c>
      <c r="I4" s="27"/>
      <c r="J4" s="27"/>
      <c r="K4" s="27"/>
      <c r="L4" s="27"/>
      <c r="M4" s="27"/>
      <c r="N4" s="89"/>
      <c r="O4" s="192"/>
      <c r="P4" s="151"/>
      <c r="Q4" s="153">
        <f>E41</f>
        <v>18.151</v>
      </c>
      <c r="R4" s="153">
        <f>J41</f>
        <v>71.893724689300853</v>
      </c>
      <c r="S4" s="153"/>
      <c r="T4" s="151"/>
      <c r="U4" s="151"/>
    </row>
    <row r="5" spans="1:21" ht="15.75" x14ac:dyDescent="0.2">
      <c r="A5" s="29"/>
      <c r="B5" s="35"/>
      <c r="C5" s="35"/>
      <c r="D5" s="94"/>
      <c r="E5" s="127"/>
      <c r="F5" s="35"/>
      <c r="G5" s="35"/>
      <c r="H5" s="35"/>
      <c r="I5" s="35"/>
      <c r="J5" s="27"/>
      <c r="K5" s="27"/>
      <c r="L5" s="27"/>
      <c r="M5" s="27"/>
      <c r="N5" s="89"/>
      <c r="O5" s="192"/>
      <c r="P5" s="151"/>
      <c r="Q5" s="153">
        <f>E51</f>
        <v>21.820999999999991</v>
      </c>
      <c r="R5" s="153">
        <f>J51</f>
        <v>64.080418038387137</v>
      </c>
      <c r="S5" s="153"/>
      <c r="T5" s="151"/>
      <c r="U5" s="151"/>
    </row>
    <row r="6" spans="1:21" ht="15.75" thickBot="1" x14ac:dyDescent="0.25">
      <c r="A6" s="36"/>
      <c r="B6" s="232" t="s">
        <v>129</v>
      </c>
      <c r="C6" s="233"/>
      <c r="D6" s="233"/>
      <c r="E6" s="233"/>
      <c r="F6" s="233"/>
      <c r="G6" s="233"/>
      <c r="H6" s="233"/>
      <c r="I6" s="233"/>
      <c r="J6" s="233"/>
      <c r="K6" s="233"/>
      <c r="L6" s="234"/>
      <c r="M6" s="36"/>
      <c r="N6" s="188"/>
      <c r="O6" s="193"/>
      <c r="P6" s="151"/>
      <c r="Q6" s="153">
        <f>E61</f>
        <v>25.440999999999981</v>
      </c>
      <c r="R6" s="153">
        <f>J61</f>
        <v>55.579412595067581</v>
      </c>
      <c r="S6" s="151"/>
      <c r="T6" s="151"/>
      <c r="U6" s="151"/>
    </row>
    <row r="7" spans="1:21" ht="38.25" x14ac:dyDescent="0.2">
      <c r="A7" s="96" t="s">
        <v>130</v>
      </c>
      <c r="B7" s="105" t="s">
        <v>119</v>
      </c>
      <c r="C7" s="106" t="s">
        <v>164</v>
      </c>
      <c r="D7" s="107" t="s">
        <v>120</v>
      </c>
      <c r="E7" s="128"/>
      <c r="F7" s="106" t="s">
        <v>149</v>
      </c>
      <c r="G7" s="106" t="s">
        <v>150</v>
      </c>
      <c r="H7" s="106" t="s">
        <v>147</v>
      </c>
      <c r="I7" s="106" t="s">
        <v>148</v>
      </c>
      <c r="J7" s="108" t="s">
        <v>121</v>
      </c>
      <c r="K7" s="108" t="s">
        <v>122</v>
      </c>
      <c r="L7" s="109" t="s">
        <v>123</v>
      </c>
      <c r="M7" s="230" t="s">
        <v>177</v>
      </c>
      <c r="N7" s="195" t="s">
        <v>168</v>
      </c>
      <c r="O7" s="196" t="s">
        <v>169</v>
      </c>
      <c r="P7" s="151"/>
      <c r="Q7" s="153">
        <f>E71</f>
        <v>29.050999999999974</v>
      </c>
      <c r="R7" s="153">
        <f>J71</f>
        <v>45.965336176106476</v>
      </c>
      <c r="S7" s="151"/>
      <c r="T7" s="151"/>
      <c r="U7" s="151"/>
    </row>
    <row r="8" spans="1:21" ht="15.75" thickBot="1" x14ac:dyDescent="0.25">
      <c r="A8" s="116"/>
      <c r="B8" s="117"/>
      <c r="C8" s="118"/>
      <c r="D8" s="119" t="s">
        <v>113</v>
      </c>
      <c r="E8" s="129" t="s">
        <v>171</v>
      </c>
      <c r="F8" s="118" t="s">
        <v>126</v>
      </c>
      <c r="G8" s="118" t="s">
        <v>124</v>
      </c>
      <c r="H8" s="118" t="s">
        <v>124</v>
      </c>
      <c r="I8" s="118" t="s">
        <v>126</v>
      </c>
      <c r="J8" s="117" t="s">
        <v>114</v>
      </c>
      <c r="K8" s="103" t="s">
        <v>114</v>
      </c>
      <c r="L8" s="120" t="s">
        <v>114</v>
      </c>
      <c r="M8" s="231" t="s">
        <v>114</v>
      </c>
      <c r="N8" s="189"/>
      <c r="R8" s="156"/>
      <c r="U8" s="151"/>
    </row>
    <row r="9" spans="1:21" ht="15.75" x14ac:dyDescent="0.2">
      <c r="A9" s="110"/>
      <c r="B9" s="111"/>
      <c r="C9" s="112"/>
      <c r="D9" s="113"/>
      <c r="E9" s="130"/>
      <c r="F9" s="112"/>
      <c r="G9" s="112"/>
      <c r="H9" s="112"/>
      <c r="I9" s="112"/>
      <c r="J9" s="111"/>
      <c r="K9" s="114"/>
      <c r="L9" s="115"/>
      <c r="M9" s="204"/>
      <c r="N9" s="191" t="s">
        <v>167</v>
      </c>
      <c r="O9" s="196" t="s">
        <v>170</v>
      </c>
      <c r="P9" s="151"/>
      <c r="Q9" s="153"/>
      <c r="R9" s="153"/>
      <c r="U9" s="151"/>
    </row>
    <row r="10" spans="1:21" x14ac:dyDescent="0.2">
      <c r="A10" s="140"/>
      <c r="B10" s="101" t="s">
        <v>109</v>
      </c>
      <c r="C10" s="97">
        <f>VLOOKUP(B10,Element,2,FALSE)</f>
        <v>101</v>
      </c>
      <c r="D10" s="102">
        <v>0.64</v>
      </c>
      <c r="E10" s="131">
        <v>0</v>
      </c>
      <c r="F10" s="98"/>
      <c r="G10" s="99">
        <v>8.4445999999999994</v>
      </c>
      <c r="H10" s="100">
        <f t="shared" ref="H10:H22" si="0">VLOOKUP(B10,Element,3,FALSE)</f>
        <v>8.4445999999999994</v>
      </c>
      <c r="I10" s="104">
        <f>IF(emptycheck(F10),IF(emptycheck(G10),VLOOKUP(B10,Element,3,FALSE),G10)*D10/10 *1000,F10)</f>
        <v>540.45439999999996</v>
      </c>
      <c r="J10" s="121">
        <f>G4</f>
        <v>99.6</v>
      </c>
      <c r="K10" s="121">
        <f t="shared" ref="K10:K20" si="1">IF(L10&gt;0,J10-L10,"Stopped")</f>
        <v>96.828507118997294</v>
      </c>
      <c r="L10" s="122">
        <f>eloss(J10,I10,$C$4,$D$4,C10,Gas,$H$4,Ah,BHe,BGHe,CIpot,Compound)</f>
        <v>2.7714928810027004</v>
      </c>
      <c r="M10" s="205"/>
      <c r="N10" s="11">
        <v>0</v>
      </c>
      <c r="O10" s="197">
        <f>N10/10</f>
        <v>0</v>
      </c>
      <c r="R10" s="156"/>
      <c r="U10" s="151"/>
    </row>
    <row r="11" spans="1:21" x14ac:dyDescent="0.2">
      <c r="A11" s="140"/>
      <c r="B11" s="176" t="s">
        <v>127</v>
      </c>
      <c r="C11" s="177">
        <f>VLOOKUP(B11,Element,2,FALSE)</f>
        <v>102</v>
      </c>
      <c r="D11" s="178">
        <f>1.3+5.92</f>
        <v>7.22</v>
      </c>
      <c r="E11" s="186">
        <f>D10</f>
        <v>0.64</v>
      </c>
      <c r="F11" s="179"/>
      <c r="G11" s="180"/>
      <c r="H11" s="181">
        <f t="shared" si="0"/>
        <v>1</v>
      </c>
      <c r="I11" s="182">
        <f>IF(emptycheck(F11),IF(emptycheck(G11),VLOOKUP(B11,Element,3,FALSE),G11)*D11/10 *1000,F11)</f>
        <v>722</v>
      </c>
      <c r="J11" s="183">
        <f>K10</f>
        <v>96.828507118997294</v>
      </c>
      <c r="K11" s="183">
        <f t="shared" si="1"/>
        <v>91.26507548686854</v>
      </c>
      <c r="L11" s="184">
        <f>eloss(J11,I11,$C$4,$D$4,C11,Gas,$H$4,Ah,BHe,BGHe,CIpot,Compound)</f>
        <v>5.5634316321287542</v>
      </c>
      <c r="M11" s="205"/>
      <c r="N11" s="190">
        <f>D10</f>
        <v>0.64</v>
      </c>
      <c r="O11" s="197">
        <f>N11/10</f>
        <v>6.4000000000000001E-2</v>
      </c>
      <c r="P11" s="153"/>
      <c r="Q11" s="153"/>
      <c r="R11" s="153"/>
      <c r="S11" s="151"/>
      <c r="U11" s="151"/>
    </row>
    <row r="12" spans="1:21" x14ac:dyDescent="0.2">
      <c r="A12" s="140"/>
      <c r="B12" s="198" t="s">
        <v>172</v>
      </c>
      <c r="C12" s="199">
        <f>VLOOKUP(B12,Element,2,FALSE)</f>
        <v>107</v>
      </c>
      <c r="D12" s="187">
        <v>0.254</v>
      </c>
      <c r="E12" s="200">
        <f>E11+D11</f>
        <v>7.8599999999999994</v>
      </c>
      <c r="F12" s="198"/>
      <c r="G12" s="201">
        <v>2.8</v>
      </c>
      <c r="H12" s="198">
        <f t="shared" si="0"/>
        <v>2.8</v>
      </c>
      <c r="I12" s="198">
        <f>IF(emptycheck(F12),IF(emptycheck(G12),VLOOKUP(B12,Element,3,FALSE),G12)*D12/10 *1000,F12)</f>
        <v>71.11999999999999</v>
      </c>
      <c r="J12" s="198">
        <f>K11</f>
        <v>91.26507548686854</v>
      </c>
      <c r="K12" s="209">
        <f t="shared" si="1"/>
        <v>90.830170300370725</v>
      </c>
      <c r="L12" s="202">
        <f>eloss(J12,I12,$C$4,$D$4,C12,Gas,$H$4,Ah,BHe,BGHe,CIpot,Compound)</f>
        <v>0.43490518649781507</v>
      </c>
      <c r="M12" s="228"/>
      <c r="N12" s="190">
        <f>N11+D11</f>
        <v>7.8599999999999994</v>
      </c>
      <c r="O12" s="197">
        <f>N12/10</f>
        <v>0.78599999999999992</v>
      </c>
      <c r="P12" s="153"/>
      <c r="Q12" s="153"/>
      <c r="R12" s="153"/>
      <c r="S12" s="151"/>
      <c r="U12" s="151"/>
    </row>
    <row r="13" spans="1:21" x14ac:dyDescent="0.2">
      <c r="A13" s="140"/>
      <c r="B13" s="133" t="s">
        <v>162</v>
      </c>
      <c r="C13" s="134">
        <f>VLOOKUP(B13,Element,2,FALSE)</f>
        <v>103</v>
      </c>
      <c r="D13" s="135">
        <v>0.127</v>
      </c>
      <c r="E13" s="136">
        <f>E12+D12</f>
        <v>8.113999999999999</v>
      </c>
      <c r="F13" s="137"/>
      <c r="G13" s="138"/>
      <c r="H13" s="137">
        <f t="shared" si="0"/>
        <v>7.93</v>
      </c>
      <c r="I13" s="137">
        <f>IF(emptycheck(F13),IF(emptycheck(G13),VLOOKUP(B13,Element,3,FALSE),G13)*D13/10 *1000,F13)</f>
        <v>100.711</v>
      </c>
      <c r="J13" s="137">
        <f>K12</f>
        <v>90.830170300370725</v>
      </c>
      <c r="K13" s="210">
        <f t="shared" si="1"/>
        <v>90.31034757066675</v>
      </c>
      <c r="L13" s="139">
        <f>eloss(J13,I13,$C$4,$D$4,C13,Gas,$H$4,Ah,BHe,BGHe,CIpot,Compound)</f>
        <v>0.51982272970397503</v>
      </c>
      <c r="M13" s="229"/>
      <c r="N13" s="190">
        <f>N12+D12</f>
        <v>8.113999999999999</v>
      </c>
      <c r="O13" s="197">
        <f t="shared" ref="O13:O72" si="2">N13/10</f>
        <v>0.8113999999999999</v>
      </c>
      <c r="P13" s="153"/>
      <c r="Q13" s="153"/>
      <c r="R13" s="153"/>
      <c r="S13" s="151"/>
      <c r="U13" s="151"/>
    </row>
    <row r="14" spans="1:21" x14ac:dyDescent="0.2">
      <c r="A14" s="140"/>
      <c r="B14" s="141" t="s">
        <v>173</v>
      </c>
      <c r="C14" s="142">
        <f>VLOOKUP(B14,Element,2,FALSE)</f>
        <v>108</v>
      </c>
      <c r="D14" s="143">
        <v>2.5000000000000001E-2</v>
      </c>
      <c r="E14" s="144">
        <f t="shared" ref="E14:E53" si="3">E13+D13</f>
        <v>8.2409999999999997</v>
      </c>
      <c r="F14" s="141"/>
      <c r="G14" s="145"/>
      <c r="H14" s="141">
        <f t="shared" si="0"/>
        <v>1.42</v>
      </c>
      <c r="I14" s="141">
        <f>IF(emptycheck(F14),IF(emptycheck(G14),VLOOKUP(B14,Element,3,FALSE),G14)*D14/10 *1000,F14)</f>
        <v>3.55</v>
      </c>
      <c r="J14" s="141">
        <f t="shared" ref="J14:J72" si="4">K13</f>
        <v>90.31034757066675</v>
      </c>
      <c r="K14" s="211">
        <f>IF(L14&gt;0,J14-L14,"Stopped")</f>
        <v>90.285931350580142</v>
      </c>
      <c r="L14" s="147">
        <f>eloss(J14,I14,$C$4,$D$4,C14,Gas,$H$4,Ah,BHe,BGHe,CIpot,Compound)</f>
        <v>2.4416220086607154E-2</v>
      </c>
      <c r="M14" s="206"/>
      <c r="N14" s="190">
        <f t="shared" ref="N14:N72" si="5">N13+D13</f>
        <v>8.2409999999999997</v>
      </c>
      <c r="O14" s="197">
        <f t="shared" si="2"/>
        <v>0.82409999999999994</v>
      </c>
      <c r="P14" s="149"/>
      <c r="Q14" s="150"/>
      <c r="R14" s="149"/>
      <c r="S14" s="151"/>
      <c r="U14" s="151"/>
    </row>
    <row r="15" spans="1:21" x14ac:dyDescent="0.2">
      <c r="A15" s="140"/>
      <c r="B15" s="158" t="s">
        <v>26</v>
      </c>
      <c r="C15" s="159">
        <v>13</v>
      </c>
      <c r="D15" s="160">
        <v>2.5000000000000001E-2</v>
      </c>
      <c r="E15" s="161">
        <f>E14+D14</f>
        <v>8.266</v>
      </c>
      <c r="F15" s="158"/>
      <c r="G15" s="162"/>
      <c r="H15" s="158">
        <f t="shared" si="0"/>
        <v>2.698</v>
      </c>
      <c r="I15" s="158">
        <f>IF(emptycheck(F15),IF(emptycheck(G15),VLOOKUP(B15,Element,3,FALSE),G15)*D15/10 *1000,F15)</f>
        <v>6.7449999999999992</v>
      </c>
      <c r="J15" s="158">
        <f t="shared" si="4"/>
        <v>90.285931350580142</v>
      </c>
      <c r="K15" s="212">
        <f t="shared" si="1"/>
        <v>90.244383239204126</v>
      </c>
      <c r="L15" s="163">
        <f t="shared" ref="L15:L51" si="6">eloss(J15,I15,$C$4,$D$4,C15,Gas,$H$4,Ah,BHe,BGHe,CIpot,Compound)</f>
        <v>4.154811137601655E-2</v>
      </c>
      <c r="M15" s="207">
        <f>(J15+K15)/2</f>
        <v>90.265157294892134</v>
      </c>
      <c r="N15" s="190">
        <f>N14+D14</f>
        <v>8.266</v>
      </c>
      <c r="O15" s="197">
        <f t="shared" si="2"/>
        <v>0.8266</v>
      </c>
      <c r="P15" s="149"/>
      <c r="Q15" s="150"/>
      <c r="R15" s="149"/>
      <c r="S15" s="151"/>
      <c r="U15" s="151"/>
    </row>
    <row r="16" spans="1:21" x14ac:dyDescent="0.2">
      <c r="A16" s="140"/>
      <c r="B16" s="141" t="s">
        <v>173</v>
      </c>
      <c r="C16" s="142">
        <f t="shared" ref="C16:C24" si="7">VLOOKUP(B16,Element,2,FALSE)</f>
        <v>108</v>
      </c>
      <c r="D16" s="143">
        <v>2.5000000000000001E-2</v>
      </c>
      <c r="E16" s="144">
        <f t="shared" si="3"/>
        <v>8.2910000000000004</v>
      </c>
      <c r="F16" s="141"/>
      <c r="G16" s="145"/>
      <c r="H16" s="141">
        <f t="shared" si="0"/>
        <v>1.42</v>
      </c>
      <c r="I16" s="141">
        <f>IF(emptycheck(F16),IF(emptycheck(G16),VLOOKUP(B16,Element,3,FALSE),G16)*D16/10 *1000,F16)</f>
        <v>3.55</v>
      </c>
      <c r="J16" s="141">
        <f t="shared" si="4"/>
        <v>90.244383239204126</v>
      </c>
      <c r="K16" s="211">
        <f t="shared" si="1"/>
        <v>90.219953647287412</v>
      </c>
      <c r="L16" s="147">
        <f t="shared" si="6"/>
        <v>2.4429591916714344E-2</v>
      </c>
      <c r="M16" s="206"/>
      <c r="N16" s="190">
        <f t="shared" si="5"/>
        <v>8.2910000000000004</v>
      </c>
      <c r="O16" s="197">
        <f t="shared" si="2"/>
        <v>0.82910000000000006</v>
      </c>
      <c r="P16" s="150"/>
      <c r="Q16" s="150"/>
      <c r="R16" s="149"/>
      <c r="S16" s="152"/>
      <c r="U16" s="151"/>
    </row>
    <row r="17" spans="1:21" x14ac:dyDescent="0.2">
      <c r="A17" s="140"/>
      <c r="B17" s="141" t="s">
        <v>173</v>
      </c>
      <c r="C17" s="142">
        <f t="shared" si="7"/>
        <v>108</v>
      </c>
      <c r="D17" s="143">
        <v>2.5000000000000001E-2</v>
      </c>
      <c r="E17" s="144">
        <f>E16+D16</f>
        <v>8.3160000000000007</v>
      </c>
      <c r="F17" s="141"/>
      <c r="G17" s="145"/>
      <c r="H17" s="141">
        <f>VLOOKUP(B17,Element,3,FALSE)</f>
        <v>1.42</v>
      </c>
      <c r="I17" s="141">
        <f>IF(emptycheck(F17),IF(emptycheck(G17),VLOOKUP(B17,Element,3,FALSE),G17)*D17/10 *1000,F17)</f>
        <v>3.55</v>
      </c>
      <c r="J17" s="141">
        <f>K16</f>
        <v>90.219953647287412</v>
      </c>
      <c r="K17" s="211">
        <f>IF(L17&gt;0,J17-L17,"Stopped")</f>
        <v>90.19551909852521</v>
      </c>
      <c r="L17" s="147">
        <f>eloss(J17,I17,$C$4,$D$4,C17,Gas,$H$4,Ah,BHe,BGHe,CIpot,Compound)</f>
        <v>2.4434548762201302E-2</v>
      </c>
      <c r="M17" s="206"/>
      <c r="N17" s="190">
        <f>N16+D16</f>
        <v>8.3160000000000007</v>
      </c>
      <c r="O17" s="197">
        <f>N17/10</f>
        <v>0.83160000000000012</v>
      </c>
      <c r="P17" s="150"/>
      <c r="Q17" s="150"/>
      <c r="R17" s="149"/>
      <c r="S17" s="152"/>
      <c r="U17" s="151"/>
    </row>
    <row r="18" spans="1:21" x14ac:dyDescent="0.2">
      <c r="A18" s="140"/>
      <c r="B18" s="214" t="s">
        <v>42</v>
      </c>
      <c r="C18" s="215">
        <f t="shared" si="7"/>
        <v>29</v>
      </c>
      <c r="D18" s="216">
        <v>2.5000000000000001E-2</v>
      </c>
      <c r="E18" s="216">
        <f>E17+D17</f>
        <v>8.3410000000000011</v>
      </c>
      <c r="F18" s="214"/>
      <c r="G18" s="217"/>
      <c r="H18" s="214">
        <f>VLOOKUP(B18,Element,3,FALSE)</f>
        <v>8.9489999999999998</v>
      </c>
      <c r="I18" s="214">
        <f>IF(emptycheck(F18),IF(emptycheck(G18),VLOOKUP(B18,Element,3,FALSE),G18)*D18/10 *1000,F18)</f>
        <v>22.372499999999999</v>
      </c>
      <c r="J18" s="214">
        <f>K17</f>
        <v>90.19551909852521</v>
      </c>
      <c r="K18" s="218">
        <f>IF(L18&gt;0,J18-L18,"Stopped")</f>
        <v>90.077676340551164</v>
      </c>
      <c r="L18" s="219">
        <f>eloss(J18,I18,$C$4,$D$4,C18,Gas,$H$4,Ah,BHe,BGHe,CIpot,Compound)</f>
        <v>0.11784275797404575</v>
      </c>
      <c r="M18" s="220">
        <f>(J18+K18)/2</f>
        <v>90.136597719538187</v>
      </c>
      <c r="N18" s="190">
        <f>N17+D17</f>
        <v>8.3410000000000011</v>
      </c>
      <c r="O18" s="197">
        <f>N18/10</f>
        <v>0.83410000000000006</v>
      </c>
      <c r="P18" s="150"/>
      <c r="Q18" s="150"/>
      <c r="R18" s="149"/>
      <c r="S18" s="152"/>
      <c r="U18" s="151"/>
    </row>
    <row r="19" spans="1:21" x14ac:dyDescent="0.2">
      <c r="A19" s="140"/>
      <c r="B19" s="141" t="s">
        <v>173</v>
      </c>
      <c r="C19" s="142">
        <f t="shared" si="7"/>
        <v>108</v>
      </c>
      <c r="D19" s="143">
        <v>2.5000000000000001E-2</v>
      </c>
      <c r="E19" s="144">
        <f>E18+D18</f>
        <v>8.3660000000000014</v>
      </c>
      <c r="F19" s="141"/>
      <c r="G19" s="145"/>
      <c r="H19" s="141">
        <f>VLOOKUP(B19,Element,3,FALSE)</f>
        <v>1.42</v>
      </c>
      <c r="I19" s="141">
        <f>IF(emptycheck(F19),IF(emptycheck(G19),VLOOKUP(B19,Element,3,FALSE),G19)*D19/10 *1000,F19)</f>
        <v>3.55</v>
      </c>
      <c r="J19" s="141">
        <f>K18</f>
        <v>90.077676340551164</v>
      </c>
      <c r="K19" s="211">
        <f>IF(L19&gt;0,J19-L19,"Stopped")</f>
        <v>90.053212873201147</v>
      </c>
      <c r="L19" s="147">
        <f>eloss(J19,I19,$C$4,$D$4,C19,Gas,$H$4,Ah,BHe,BGHe,CIpot,Compound)</f>
        <v>2.4463467350017254E-2</v>
      </c>
      <c r="M19" s="206"/>
      <c r="N19" s="190">
        <f>N18+D18</f>
        <v>8.3660000000000014</v>
      </c>
      <c r="O19" s="197">
        <f>N19/10</f>
        <v>0.83660000000000012</v>
      </c>
      <c r="P19" s="150"/>
      <c r="Q19" s="150"/>
      <c r="R19" s="149"/>
      <c r="S19" s="152"/>
      <c r="U19" s="151"/>
    </row>
    <row r="20" spans="1:21" x14ac:dyDescent="0.2">
      <c r="A20" s="140"/>
      <c r="B20" s="141" t="s">
        <v>173</v>
      </c>
      <c r="C20" s="142">
        <f t="shared" si="7"/>
        <v>108</v>
      </c>
      <c r="D20" s="143">
        <v>2.5000000000000001E-2</v>
      </c>
      <c r="E20" s="144">
        <f>E16+D16</f>
        <v>8.3160000000000007</v>
      </c>
      <c r="F20" s="141"/>
      <c r="G20" s="145"/>
      <c r="H20" s="141">
        <f t="shared" si="0"/>
        <v>1.42</v>
      </c>
      <c r="I20" s="141">
        <f>IF(emptycheck(F20),IF(emptycheck(G20),VLOOKUP(B20,Element,3,FALSE),G20)*D20/10 *1000,F20)</f>
        <v>3.55</v>
      </c>
      <c r="J20" s="141">
        <f>K16</f>
        <v>90.219953647287412</v>
      </c>
      <c r="K20" s="211">
        <f t="shared" si="1"/>
        <v>90.19551909852521</v>
      </c>
      <c r="L20" s="147">
        <f>eloss(J20,I20,$C$4,$D$4,C20,Gas,$H$4,Ah,BHe,BGHe,CIpot,Compound)</f>
        <v>2.4434548762201302E-2</v>
      </c>
      <c r="M20" s="206"/>
      <c r="N20" s="190">
        <f>N16+D16</f>
        <v>8.3160000000000007</v>
      </c>
      <c r="O20" s="197">
        <f t="shared" si="2"/>
        <v>0.83160000000000012</v>
      </c>
      <c r="P20" s="149"/>
      <c r="Q20" s="150"/>
      <c r="R20" s="149"/>
      <c r="S20" s="151"/>
      <c r="U20" s="151"/>
    </row>
    <row r="21" spans="1:21" x14ac:dyDescent="0.2">
      <c r="A21" s="140"/>
      <c r="B21" s="164" t="s">
        <v>55</v>
      </c>
      <c r="C21" s="165">
        <f t="shared" si="7"/>
        <v>41</v>
      </c>
      <c r="D21" s="166">
        <v>2.5000000000000001E-2</v>
      </c>
      <c r="E21" s="185">
        <f t="shared" si="3"/>
        <v>8.3410000000000011</v>
      </c>
      <c r="F21" s="164"/>
      <c r="G21" s="167"/>
      <c r="H21" s="164">
        <f t="shared" si="0"/>
        <v>8.6020000000000003</v>
      </c>
      <c r="I21" s="164">
        <f>IF(emptycheck(F21),IF(emptycheck(G21),VLOOKUP(B21,Element,3,FALSE),G21)*D21/10 *1000,F21)</f>
        <v>21.505000000000003</v>
      </c>
      <c r="J21" s="164">
        <f t="shared" si="4"/>
        <v>90.19551909852521</v>
      </c>
      <c r="K21" s="213">
        <f t="shared" ref="K21:K72" si="8">IF(L21&gt;0,J21-L21,"Stopped")</f>
        <v>90.089373038835845</v>
      </c>
      <c r="L21" s="168">
        <f t="shared" si="6"/>
        <v>0.1061460596893653</v>
      </c>
      <c r="M21" s="208">
        <f>(J21+K21)/2</f>
        <v>90.142446068680528</v>
      </c>
      <c r="N21" s="190">
        <f t="shared" si="5"/>
        <v>8.3410000000000011</v>
      </c>
      <c r="O21" s="197">
        <f t="shared" si="2"/>
        <v>0.83410000000000006</v>
      </c>
      <c r="P21" s="150"/>
      <c r="Q21" s="150"/>
      <c r="R21" s="149"/>
      <c r="S21" s="151"/>
      <c r="U21" s="151"/>
    </row>
    <row r="22" spans="1:21" x14ac:dyDescent="0.2">
      <c r="A22" s="140"/>
      <c r="B22" s="141" t="s">
        <v>173</v>
      </c>
      <c r="C22" s="142">
        <f t="shared" si="7"/>
        <v>108</v>
      </c>
      <c r="D22" s="143">
        <v>2.5000000000000001E-2</v>
      </c>
      <c r="E22" s="144">
        <f t="shared" si="3"/>
        <v>8.3660000000000014</v>
      </c>
      <c r="F22" s="141"/>
      <c r="G22" s="145"/>
      <c r="H22" s="141">
        <f t="shared" si="0"/>
        <v>1.42</v>
      </c>
      <c r="I22" s="141">
        <f>IF(emptycheck(F22),IF(emptycheck(G22),VLOOKUP(B22,Element,3,FALSE),G22)*D22/10 *1000,F22)</f>
        <v>3.55</v>
      </c>
      <c r="J22" s="141">
        <f t="shared" si="4"/>
        <v>90.089373038835845</v>
      </c>
      <c r="K22" s="211">
        <f t="shared" si="8"/>
        <v>90.064911952127773</v>
      </c>
      <c r="L22" s="147">
        <f t="shared" si="6"/>
        <v>2.4461086708072344E-2</v>
      </c>
      <c r="M22" s="206"/>
      <c r="N22" s="190">
        <f t="shared" si="5"/>
        <v>8.3660000000000014</v>
      </c>
      <c r="O22" s="197">
        <f t="shared" si="2"/>
        <v>0.83660000000000012</v>
      </c>
      <c r="P22" s="150"/>
      <c r="Q22" s="150"/>
      <c r="R22" s="149"/>
      <c r="S22" s="151"/>
      <c r="U22" s="151"/>
    </row>
    <row r="23" spans="1:21" x14ac:dyDescent="0.2">
      <c r="A23" s="140"/>
      <c r="B23" s="170" t="s">
        <v>172</v>
      </c>
      <c r="C23" s="171">
        <f t="shared" si="7"/>
        <v>107</v>
      </c>
      <c r="D23" s="172">
        <v>4.96</v>
      </c>
      <c r="E23" s="227">
        <f t="shared" si="3"/>
        <v>8.3910000000000018</v>
      </c>
      <c r="F23" s="173"/>
      <c r="G23" s="174"/>
      <c r="H23" s="175">
        <f t="shared" ref="H23:H72" si="9">VLOOKUP(B23,Element,3,FALSE)</f>
        <v>2.8</v>
      </c>
      <c r="I23" s="175">
        <f>IF(emptycheck(F23),IF(emptycheck(G23),VLOOKUP(B23,Element,3,FALSE),G23)*D23/10 *1000,F23)</f>
        <v>1388.8</v>
      </c>
      <c r="J23" s="224">
        <f>K22</f>
        <v>90.064911952127773</v>
      </c>
      <c r="K23" s="225">
        <f>IF(L23&gt;0,J23-L23,"Stopped")</f>
        <v>81.174064943598921</v>
      </c>
      <c r="L23" s="226">
        <f>eloss(J23,I23,$C$4,$D$4,C23,Gas,$H$4,Ah,BHe,BGHe,CIpot,Compound)</f>
        <v>8.8908470085288513</v>
      </c>
      <c r="M23" s="205"/>
      <c r="N23" s="190">
        <f>N22+D22</f>
        <v>8.3910000000000018</v>
      </c>
      <c r="O23" s="197">
        <f>N23/10</f>
        <v>0.83910000000000018</v>
      </c>
      <c r="P23" s="153"/>
      <c r="Q23" s="153"/>
      <c r="R23" s="154"/>
      <c r="S23" s="155"/>
      <c r="T23" s="151"/>
      <c r="U23" s="151"/>
    </row>
    <row r="24" spans="1:21" x14ac:dyDescent="0.2">
      <c r="A24" s="140"/>
      <c r="B24" s="141" t="s">
        <v>173</v>
      </c>
      <c r="C24" s="142">
        <f t="shared" si="7"/>
        <v>108</v>
      </c>
      <c r="D24" s="143">
        <v>2.5000000000000001E-2</v>
      </c>
      <c r="E24" s="144">
        <f t="shared" si="3"/>
        <v>13.351000000000003</v>
      </c>
      <c r="F24" s="141"/>
      <c r="G24" s="145"/>
      <c r="H24" s="141">
        <f t="shared" si="9"/>
        <v>1.42</v>
      </c>
      <c r="I24" s="141">
        <f>IF(emptycheck(F24),IF(emptycheck(G24),VLOOKUP(B24,Element,3,FALSE),G24)*D24/10 *1000,F24)</f>
        <v>3.55</v>
      </c>
      <c r="J24" s="141">
        <f t="shared" si="4"/>
        <v>81.174064943598921</v>
      </c>
      <c r="K24" s="211">
        <f t="shared" si="8"/>
        <v>81.14760388569897</v>
      </c>
      <c r="L24" s="147">
        <f t="shared" si="6"/>
        <v>2.6461057899950902E-2</v>
      </c>
      <c r="M24" s="206"/>
      <c r="N24" s="190">
        <f t="shared" si="5"/>
        <v>13.351000000000003</v>
      </c>
      <c r="O24" s="197">
        <f t="shared" si="2"/>
        <v>1.3351000000000002</v>
      </c>
      <c r="P24" s="153"/>
      <c r="Q24" s="153"/>
      <c r="R24" s="154"/>
      <c r="S24" s="155"/>
      <c r="T24" s="151"/>
      <c r="U24" s="151"/>
    </row>
    <row r="25" spans="1:21" x14ac:dyDescent="0.2">
      <c r="A25" s="140"/>
      <c r="B25" s="158" t="s">
        <v>26</v>
      </c>
      <c r="C25" s="159">
        <v>13</v>
      </c>
      <c r="D25" s="160">
        <v>2.5000000000000001E-2</v>
      </c>
      <c r="E25" s="161">
        <f t="shared" si="3"/>
        <v>13.376000000000003</v>
      </c>
      <c r="F25" s="158"/>
      <c r="G25" s="162"/>
      <c r="H25" s="158">
        <f t="shared" si="9"/>
        <v>2.698</v>
      </c>
      <c r="I25" s="158">
        <f>IF(emptycheck(F25),IF(emptycheck(G25),VLOOKUP(B25,Element,3,FALSE),G25)*D25/10 *1000,F25)</f>
        <v>6.7449999999999992</v>
      </c>
      <c r="J25" s="158">
        <f t="shared" si="4"/>
        <v>81.14760388569897</v>
      </c>
      <c r="K25" s="212">
        <f t="shared" si="8"/>
        <v>81.102610289000694</v>
      </c>
      <c r="L25" s="163">
        <f t="shared" si="6"/>
        <v>4.4993596698276406E-2</v>
      </c>
      <c r="M25" s="207">
        <f>(J25+K25)/2</f>
        <v>81.125107087349832</v>
      </c>
      <c r="N25" s="190">
        <f t="shared" si="5"/>
        <v>13.376000000000003</v>
      </c>
      <c r="O25" s="197">
        <f t="shared" si="2"/>
        <v>1.3376000000000003</v>
      </c>
      <c r="P25" s="149"/>
      <c r="Q25" s="153"/>
      <c r="R25" s="154"/>
      <c r="S25" s="155"/>
      <c r="T25" s="151"/>
      <c r="U25" s="151"/>
    </row>
    <row r="26" spans="1:21" x14ac:dyDescent="0.2">
      <c r="A26" s="140"/>
      <c r="B26" s="141" t="s">
        <v>173</v>
      </c>
      <c r="C26" s="142">
        <f t="shared" ref="C26:C34" si="10">VLOOKUP(B26,Element,2,FALSE)</f>
        <v>108</v>
      </c>
      <c r="D26" s="143">
        <v>2.5000000000000001E-2</v>
      </c>
      <c r="E26" s="144">
        <f t="shared" si="3"/>
        <v>13.401000000000003</v>
      </c>
      <c r="F26" s="141"/>
      <c r="G26" s="145"/>
      <c r="H26" s="141">
        <f t="shared" si="9"/>
        <v>1.42</v>
      </c>
      <c r="I26" s="141">
        <f>IF(emptycheck(F26),IF(emptycheck(G26),VLOOKUP(B26,Element,3,FALSE),G26)*D26/10 *1000,F26)</f>
        <v>3.55</v>
      </c>
      <c r="J26" s="141">
        <f t="shared" si="4"/>
        <v>81.102610289000694</v>
      </c>
      <c r="K26" s="211">
        <f t="shared" si="8"/>
        <v>81.076131544694505</v>
      </c>
      <c r="L26" s="147">
        <f t="shared" si="6"/>
        <v>2.6478744306189128E-2</v>
      </c>
      <c r="M26" s="206"/>
      <c r="N26" s="190">
        <f t="shared" si="5"/>
        <v>13.401000000000003</v>
      </c>
      <c r="O26" s="197">
        <f t="shared" si="2"/>
        <v>1.3401000000000003</v>
      </c>
      <c r="P26" s="153"/>
      <c r="Q26" s="150"/>
      <c r="R26" s="155"/>
      <c r="S26" s="152"/>
      <c r="T26" s="151"/>
      <c r="U26" s="151"/>
    </row>
    <row r="27" spans="1:21" x14ac:dyDescent="0.2">
      <c r="A27" s="140"/>
      <c r="B27" s="141" t="s">
        <v>173</v>
      </c>
      <c r="C27" s="142">
        <f>VLOOKUP(B27,Element,2,FALSE)</f>
        <v>108</v>
      </c>
      <c r="D27" s="143">
        <v>2.5000000000000001E-2</v>
      </c>
      <c r="E27" s="144">
        <f t="shared" si="3"/>
        <v>13.426000000000004</v>
      </c>
      <c r="F27" s="141"/>
      <c r="G27" s="145"/>
      <c r="H27" s="141">
        <f t="shared" si="9"/>
        <v>1.42</v>
      </c>
      <c r="I27" s="141">
        <f>IF(emptycheck(F27),IF(emptycheck(G27),VLOOKUP(B27,Element,3,FALSE),G27)*D27/10 *1000,F27)</f>
        <v>3.55</v>
      </c>
      <c r="J27" s="141">
        <f t="shared" si="4"/>
        <v>81.076131544694505</v>
      </c>
      <c r="K27" s="211">
        <f t="shared" si="8"/>
        <v>81.04964623899258</v>
      </c>
      <c r="L27" s="147">
        <f t="shared" si="6"/>
        <v>2.6485305701925199E-2</v>
      </c>
      <c r="M27" s="206"/>
      <c r="N27" s="190">
        <f>N26+D26</f>
        <v>13.426000000000004</v>
      </c>
      <c r="O27" s="197">
        <f>N27/10</f>
        <v>1.3426000000000005</v>
      </c>
      <c r="P27" s="153"/>
      <c r="Q27" s="150"/>
      <c r="R27" s="155"/>
      <c r="S27" s="152"/>
      <c r="T27" s="151"/>
      <c r="U27" s="151"/>
    </row>
    <row r="28" spans="1:21" x14ac:dyDescent="0.2">
      <c r="A28" s="140"/>
      <c r="B28" s="214" t="s">
        <v>42</v>
      </c>
      <c r="C28" s="215">
        <f>VLOOKUP(B28,Element,2,FALSE)</f>
        <v>29</v>
      </c>
      <c r="D28" s="216">
        <v>2.5000000000000001E-2</v>
      </c>
      <c r="E28" s="216">
        <f t="shared" si="3"/>
        <v>13.451000000000004</v>
      </c>
      <c r="F28" s="214"/>
      <c r="G28" s="217"/>
      <c r="H28" s="214">
        <f t="shared" si="9"/>
        <v>8.9489999999999998</v>
      </c>
      <c r="I28" s="214">
        <f>IF(emptycheck(F28),IF(emptycheck(G28),VLOOKUP(B28,Element,3,FALSE),G28)*D28/10 *1000,F28)</f>
        <v>22.372499999999999</v>
      </c>
      <c r="J28" s="214">
        <f t="shared" si="4"/>
        <v>81.04964623899258</v>
      </c>
      <c r="K28" s="218">
        <f t="shared" si="8"/>
        <v>80.922197285711007</v>
      </c>
      <c r="L28" s="219">
        <f t="shared" si="6"/>
        <v>0.12744895328157213</v>
      </c>
      <c r="M28" s="220">
        <f>(J28+K28)/2</f>
        <v>80.985921762351794</v>
      </c>
      <c r="N28" s="190">
        <f>N27+D27</f>
        <v>13.451000000000004</v>
      </c>
      <c r="O28" s="197">
        <f>N28/10</f>
        <v>1.3451000000000004</v>
      </c>
      <c r="P28" s="153"/>
      <c r="Q28" s="150"/>
      <c r="R28" s="155"/>
      <c r="S28" s="152"/>
      <c r="T28" s="151"/>
      <c r="U28" s="151"/>
    </row>
    <row r="29" spans="1:21" x14ac:dyDescent="0.2">
      <c r="A29" s="140"/>
      <c r="B29" s="141" t="s">
        <v>173</v>
      </c>
      <c r="C29" s="142">
        <f>VLOOKUP(B29,Element,2,FALSE)</f>
        <v>108</v>
      </c>
      <c r="D29" s="143">
        <v>2.5000000000000001E-2</v>
      </c>
      <c r="E29" s="144">
        <f t="shared" si="3"/>
        <v>13.476000000000004</v>
      </c>
      <c r="F29" s="141"/>
      <c r="G29" s="145"/>
      <c r="H29" s="141">
        <f t="shared" si="9"/>
        <v>1.42</v>
      </c>
      <c r="I29" s="141">
        <f>IF(emptycheck(F29),IF(emptycheck(G29),VLOOKUP(B29,Element,3,FALSE),G29)*D29/10 *1000,F29)</f>
        <v>3.55</v>
      </c>
      <c r="J29" s="141">
        <f t="shared" si="4"/>
        <v>80.922197285711007</v>
      </c>
      <c r="K29" s="211">
        <f t="shared" si="8"/>
        <v>80.895673755881916</v>
      </c>
      <c r="L29" s="147">
        <f t="shared" si="6"/>
        <v>2.6523529829091785E-2</v>
      </c>
      <c r="M29" s="206"/>
      <c r="N29" s="190">
        <f>N28+D28</f>
        <v>13.476000000000004</v>
      </c>
      <c r="O29" s="197">
        <f>N29/10</f>
        <v>1.3476000000000004</v>
      </c>
      <c r="P29" s="153"/>
      <c r="Q29" s="150"/>
      <c r="R29" s="155"/>
      <c r="S29" s="152"/>
      <c r="T29" s="151"/>
      <c r="U29" s="151"/>
    </row>
    <row r="30" spans="1:21" x14ac:dyDescent="0.2">
      <c r="A30" s="140"/>
      <c r="B30" s="141" t="s">
        <v>173</v>
      </c>
      <c r="C30" s="142">
        <f t="shared" si="10"/>
        <v>108</v>
      </c>
      <c r="D30" s="143">
        <v>2.5000000000000001E-2</v>
      </c>
      <c r="E30" s="144">
        <f>E26+D26</f>
        <v>13.426000000000004</v>
      </c>
      <c r="F30" s="141"/>
      <c r="G30" s="145"/>
      <c r="H30" s="141">
        <f t="shared" si="9"/>
        <v>1.42</v>
      </c>
      <c r="I30" s="141">
        <f>IF(emptycheck(F30),IF(emptycheck(G30),VLOOKUP(B30,Element,3,FALSE),G30)*D30/10 *1000,F30)</f>
        <v>3.55</v>
      </c>
      <c r="J30" s="141">
        <f>K26</f>
        <v>81.076131544694505</v>
      </c>
      <c r="K30" s="211">
        <f t="shared" si="8"/>
        <v>81.04964623899258</v>
      </c>
      <c r="L30" s="147">
        <f t="shared" si="6"/>
        <v>2.6485305701925199E-2</v>
      </c>
      <c r="M30" s="206"/>
      <c r="N30" s="190">
        <f>N26+D26</f>
        <v>13.426000000000004</v>
      </c>
      <c r="O30" s="197">
        <f t="shared" si="2"/>
        <v>1.3426000000000005</v>
      </c>
      <c r="P30" s="153"/>
      <c r="Q30" s="153"/>
      <c r="R30" s="154"/>
      <c r="S30" s="155"/>
      <c r="T30" s="151"/>
      <c r="U30" s="151"/>
    </row>
    <row r="31" spans="1:21" x14ac:dyDescent="0.2">
      <c r="A31" s="140"/>
      <c r="B31" s="164" t="s">
        <v>55</v>
      </c>
      <c r="C31" s="165">
        <f t="shared" si="10"/>
        <v>41</v>
      </c>
      <c r="D31" s="166">
        <v>2.5000000000000001E-2</v>
      </c>
      <c r="E31" s="185">
        <f t="shared" si="3"/>
        <v>13.451000000000004</v>
      </c>
      <c r="F31" s="164"/>
      <c r="G31" s="167"/>
      <c r="H31" s="164">
        <f t="shared" si="9"/>
        <v>8.6020000000000003</v>
      </c>
      <c r="I31" s="164">
        <f>IF(emptycheck(F31),IF(emptycheck(G31),VLOOKUP(B31,Element,3,FALSE),G31)*D31/10 *1000,F31)</f>
        <v>21.505000000000003</v>
      </c>
      <c r="J31" s="164">
        <f t="shared" si="4"/>
        <v>81.04964623899258</v>
      </c>
      <c r="K31" s="213">
        <f t="shared" si="8"/>
        <v>80.934904935117828</v>
      </c>
      <c r="L31" s="168">
        <f t="shared" si="6"/>
        <v>0.11474130387475157</v>
      </c>
      <c r="M31" s="208">
        <f>(J31+K31)/2</f>
        <v>80.992275587055204</v>
      </c>
      <c r="N31" s="190">
        <f t="shared" si="5"/>
        <v>13.451000000000004</v>
      </c>
      <c r="O31" s="197">
        <f t="shared" si="2"/>
        <v>1.3451000000000004</v>
      </c>
      <c r="P31" s="153"/>
      <c r="Q31" s="153"/>
      <c r="R31" s="154"/>
      <c r="S31" s="155"/>
      <c r="T31" s="151"/>
      <c r="U31" s="151"/>
    </row>
    <row r="32" spans="1:21" x14ac:dyDescent="0.2">
      <c r="A32" s="140"/>
      <c r="B32" s="141" t="s">
        <v>173</v>
      </c>
      <c r="C32" s="142">
        <f t="shared" si="10"/>
        <v>108</v>
      </c>
      <c r="D32" s="143">
        <v>2.5000000000000001E-2</v>
      </c>
      <c r="E32" s="144">
        <f t="shared" si="3"/>
        <v>13.476000000000004</v>
      </c>
      <c r="F32" s="141"/>
      <c r="G32" s="145"/>
      <c r="H32" s="141">
        <f t="shared" si="9"/>
        <v>1.42</v>
      </c>
      <c r="I32" s="141">
        <f>IF(emptycheck(F32),IF(emptycheck(G32),VLOOKUP(B32,Element,3,FALSE),G32)*D32/10 *1000,F32)</f>
        <v>3.55</v>
      </c>
      <c r="J32" s="141">
        <f t="shared" si="4"/>
        <v>80.934904935117828</v>
      </c>
      <c r="K32" s="211">
        <f t="shared" si="8"/>
        <v>80.908384565927093</v>
      </c>
      <c r="L32" s="147">
        <f t="shared" si="6"/>
        <v>2.6520369190734527E-2</v>
      </c>
      <c r="M32" s="206"/>
      <c r="N32" s="190">
        <f t="shared" si="5"/>
        <v>13.476000000000004</v>
      </c>
      <c r="O32" s="197">
        <f t="shared" si="2"/>
        <v>1.3476000000000004</v>
      </c>
      <c r="P32" s="153"/>
      <c r="Q32" s="153"/>
      <c r="R32" s="154"/>
      <c r="S32" s="155"/>
      <c r="T32" s="151"/>
      <c r="U32" s="151"/>
    </row>
    <row r="33" spans="1:21" x14ac:dyDescent="0.2">
      <c r="A33" s="140"/>
      <c r="B33" s="170" t="s">
        <v>172</v>
      </c>
      <c r="C33" s="171">
        <f t="shared" si="10"/>
        <v>107</v>
      </c>
      <c r="D33" s="172">
        <v>4.55</v>
      </c>
      <c r="E33" s="227">
        <f t="shared" si="3"/>
        <v>13.501000000000005</v>
      </c>
      <c r="F33" s="173"/>
      <c r="G33" s="174"/>
      <c r="H33" s="175">
        <f t="shared" si="9"/>
        <v>2.8</v>
      </c>
      <c r="I33" s="175">
        <f>IF(emptycheck(F33),IF(emptycheck(G33),VLOOKUP(B33,Element,3,FALSE),G33)*D33/10 *1000,F33)</f>
        <v>1273.9999999999998</v>
      </c>
      <c r="J33" s="224">
        <f>K32</f>
        <v>80.908384565927093</v>
      </c>
      <c r="K33" s="225">
        <f>IF(L33&gt;0,J33-L33,"Stopped")</f>
        <v>72.029998245207679</v>
      </c>
      <c r="L33" s="226">
        <f>eloss(J33,I33,$C$4,$D$4,C33,Gas,$H$4,Ah,BHe,BGHe,CIpot,Compound)</f>
        <v>8.8783863207194145</v>
      </c>
      <c r="M33" s="205"/>
      <c r="N33" s="190">
        <f>N32+D32</f>
        <v>13.501000000000005</v>
      </c>
      <c r="O33" s="197">
        <f>N33/10</f>
        <v>1.3501000000000005</v>
      </c>
      <c r="P33" s="153"/>
      <c r="Q33" s="153"/>
      <c r="R33" s="154"/>
      <c r="S33" s="155"/>
      <c r="T33" s="151"/>
      <c r="U33" s="151"/>
    </row>
    <row r="34" spans="1:21" x14ac:dyDescent="0.2">
      <c r="A34" s="140"/>
      <c r="B34" s="141" t="s">
        <v>173</v>
      </c>
      <c r="C34" s="142">
        <f t="shared" si="10"/>
        <v>108</v>
      </c>
      <c r="D34" s="143">
        <v>2.5000000000000001E-2</v>
      </c>
      <c r="E34" s="144">
        <f t="shared" si="3"/>
        <v>18.051000000000005</v>
      </c>
      <c r="F34" s="141"/>
      <c r="G34" s="145"/>
      <c r="H34" s="141">
        <f t="shared" si="9"/>
        <v>1.42</v>
      </c>
      <c r="I34" s="141">
        <f>IF(emptycheck(F34),IF(emptycheck(G34),VLOOKUP(B34,Element,3,FALSE),G34)*D34/10 *1000,F34)</f>
        <v>3.55</v>
      </c>
      <c r="J34" s="141">
        <f t="shared" si="4"/>
        <v>72.029998245207679</v>
      </c>
      <c r="K34" s="211">
        <f t="shared" si="8"/>
        <v>72.00100926214273</v>
      </c>
      <c r="L34" s="147">
        <f t="shared" si="6"/>
        <v>2.898898306494857E-2</v>
      </c>
      <c r="M34" s="206"/>
      <c r="N34" s="190">
        <f t="shared" si="5"/>
        <v>18.051000000000005</v>
      </c>
      <c r="O34" s="197">
        <f t="shared" si="2"/>
        <v>1.8051000000000006</v>
      </c>
      <c r="P34" s="153"/>
      <c r="Q34" s="153"/>
      <c r="R34" s="151"/>
      <c r="S34" s="151"/>
      <c r="T34" s="151"/>
      <c r="U34" s="151"/>
    </row>
    <row r="35" spans="1:21" x14ac:dyDescent="0.2">
      <c r="A35" s="140"/>
      <c r="B35" s="158" t="s">
        <v>26</v>
      </c>
      <c r="C35" s="159">
        <v>13</v>
      </c>
      <c r="D35" s="160">
        <v>2.5000000000000001E-2</v>
      </c>
      <c r="E35" s="161">
        <f t="shared" si="3"/>
        <v>18.076000000000004</v>
      </c>
      <c r="F35" s="158"/>
      <c r="G35" s="162"/>
      <c r="H35" s="158">
        <f t="shared" si="9"/>
        <v>2.698</v>
      </c>
      <c r="I35" s="158">
        <f>IF(emptycheck(F35),IF(emptycheck(G35),VLOOKUP(B35,Element,3,FALSE),G35)*D35/10 *1000,F35)</f>
        <v>6.7449999999999992</v>
      </c>
      <c r="J35" s="158">
        <f t="shared" si="4"/>
        <v>72.00100926214273</v>
      </c>
      <c r="K35" s="212">
        <f t="shared" si="8"/>
        <v>71.9517600580661</v>
      </c>
      <c r="L35" s="163">
        <f t="shared" si="6"/>
        <v>4.9249204076630804E-2</v>
      </c>
      <c r="M35" s="207">
        <f>(J35+K35)/2</f>
        <v>71.976384660104415</v>
      </c>
      <c r="N35" s="190">
        <f t="shared" si="5"/>
        <v>18.076000000000004</v>
      </c>
      <c r="O35" s="197">
        <f t="shared" si="2"/>
        <v>1.8076000000000003</v>
      </c>
      <c r="P35" s="149"/>
      <c r="Q35" s="153"/>
      <c r="R35" s="151"/>
      <c r="S35" s="151"/>
      <c r="T35" s="151"/>
      <c r="U35" s="151"/>
    </row>
    <row r="36" spans="1:21" x14ac:dyDescent="0.2">
      <c r="A36" s="140"/>
      <c r="B36" s="141" t="s">
        <v>173</v>
      </c>
      <c r="C36" s="142">
        <f t="shared" ref="C36:C44" si="11">VLOOKUP(B36,Element,2,FALSE)</f>
        <v>108</v>
      </c>
      <c r="D36" s="143">
        <v>2.5000000000000001E-2</v>
      </c>
      <c r="E36" s="144">
        <f t="shared" si="3"/>
        <v>18.101000000000003</v>
      </c>
      <c r="F36" s="141"/>
      <c r="G36" s="145"/>
      <c r="H36" s="141">
        <f t="shared" si="9"/>
        <v>1.42</v>
      </c>
      <c r="I36" s="141">
        <f>IF(emptycheck(F36),IF(emptycheck(G36),VLOOKUP(B36,Element,3,FALSE),G36)*D36/10 *1000,F36)</f>
        <v>3.55</v>
      </c>
      <c r="J36" s="141">
        <f t="shared" si="4"/>
        <v>71.9517600580661</v>
      </c>
      <c r="K36" s="211">
        <f t="shared" si="8"/>
        <v>71.922746868233418</v>
      </c>
      <c r="L36" s="147">
        <f t="shared" si="6"/>
        <v>2.9013189832681974E-2</v>
      </c>
      <c r="M36" s="206"/>
      <c r="N36" s="190">
        <f t="shared" si="5"/>
        <v>18.101000000000003</v>
      </c>
      <c r="O36" s="197">
        <f t="shared" si="2"/>
        <v>1.8101000000000003</v>
      </c>
      <c r="P36" s="156"/>
      <c r="Q36" s="150"/>
      <c r="R36" s="155"/>
      <c r="S36" s="152"/>
      <c r="T36" s="151"/>
      <c r="U36" s="151"/>
    </row>
    <row r="37" spans="1:21" x14ac:dyDescent="0.2">
      <c r="A37" s="140"/>
      <c r="B37" s="141" t="s">
        <v>173</v>
      </c>
      <c r="C37" s="142">
        <f>VLOOKUP(B37,Element,2,FALSE)</f>
        <v>108</v>
      </c>
      <c r="D37" s="143">
        <v>2.5000000000000001E-2</v>
      </c>
      <c r="E37" s="144">
        <f>E36+D36</f>
        <v>18.126000000000001</v>
      </c>
      <c r="F37" s="141"/>
      <c r="G37" s="145"/>
      <c r="H37" s="141">
        <f>VLOOKUP(B37,Element,3,FALSE)</f>
        <v>1.42</v>
      </c>
      <c r="I37" s="141">
        <f>IF(emptycheck(F37),IF(emptycheck(G37),VLOOKUP(B37,Element,3,FALSE),G37)*D37/10 *1000,F37)</f>
        <v>3.55</v>
      </c>
      <c r="J37" s="141">
        <f>K36</f>
        <v>71.922746868233418</v>
      </c>
      <c r="K37" s="211">
        <f>IF(L37&gt;0,J37-L37,"Stopped")</f>
        <v>71.893724689300853</v>
      </c>
      <c r="L37" s="147">
        <f>eloss(J37,I37,$C$4,$D$4,C37,Gas,$H$4,Ah,BHe,BGHe,CIpot,Compound)</f>
        <v>2.9022178932564202E-2</v>
      </c>
      <c r="M37" s="206"/>
      <c r="N37" s="190">
        <f>N36+D36</f>
        <v>18.126000000000001</v>
      </c>
      <c r="O37" s="197">
        <f>N37/10</f>
        <v>1.8126000000000002</v>
      </c>
      <c r="P37" s="156"/>
      <c r="Q37" s="150"/>
      <c r="R37" s="155"/>
      <c r="S37" s="152"/>
      <c r="T37" s="151"/>
      <c r="U37" s="151"/>
    </row>
    <row r="38" spans="1:21" x14ac:dyDescent="0.2">
      <c r="A38" s="140"/>
      <c r="B38" s="214" t="s">
        <v>42</v>
      </c>
      <c r="C38" s="215">
        <f>VLOOKUP(B38,Element,2,FALSE)</f>
        <v>29</v>
      </c>
      <c r="D38" s="216">
        <v>2.5000000000000001E-2</v>
      </c>
      <c r="E38" s="216">
        <f>E37+D37</f>
        <v>18.151</v>
      </c>
      <c r="F38" s="214"/>
      <c r="G38" s="217"/>
      <c r="H38" s="214">
        <f>VLOOKUP(B38,Element,3,FALSE)</f>
        <v>8.9489999999999998</v>
      </c>
      <c r="I38" s="214">
        <f>IF(emptycheck(F38),IF(emptycheck(G38),VLOOKUP(B38,Element,3,FALSE),G38)*D38/10 *1000,F38)</f>
        <v>22.372499999999999</v>
      </c>
      <c r="J38" s="214">
        <f>K37</f>
        <v>71.893724689300853</v>
      </c>
      <c r="K38" s="218">
        <f>IF(L38&gt;0,J38-L38,"Stopped")</f>
        <v>71.754426380998154</v>
      </c>
      <c r="L38" s="219">
        <f>eloss(J38,I38,$C$4,$D$4,C38,Gas,$H$4,Ah,BHe,BGHe,CIpot,Compound)</f>
        <v>0.13929830830269907</v>
      </c>
      <c r="M38" s="220">
        <f>(J38+K38)/2</f>
        <v>71.824075535149504</v>
      </c>
      <c r="N38" s="190">
        <f>N37+D37</f>
        <v>18.151</v>
      </c>
      <c r="O38" s="197">
        <f>N38/10</f>
        <v>1.8150999999999999</v>
      </c>
      <c r="P38" s="156"/>
      <c r="Q38" s="150"/>
      <c r="R38" s="155"/>
      <c r="S38" s="152"/>
      <c r="T38" s="151"/>
      <c r="U38" s="151"/>
    </row>
    <row r="39" spans="1:21" x14ac:dyDescent="0.2">
      <c r="A39" s="140"/>
      <c r="B39" s="141" t="s">
        <v>173</v>
      </c>
      <c r="C39" s="142">
        <f>VLOOKUP(B39,Element,2,FALSE)</f>
        <v>108</v>
      </c>
      <c r="D39" s="143">
        <v>2.5000000000000001E-2</v>
      </c>
      <c r="E39" s="144">
        <f>E38+D38</f>
        <v>18.175999999999998</v>
      </c>
      <c r="F39" s="141"/>
      <c r="G39" s="145"/>
      <c r="H39" s="141">
        <f>VLOOKUP(B39,Element,3,FALSE)</f>
        <v>1.42</v>
      </c>
      <c r="I39" s="141">
        <f>IF(emptycheck(F39),IF(emptycheck(G39),VLOOKUP(B39,Element,3,FALSE),G39)*D39/10 *1000,F39)</f>
        <v>3.55</v>
      </c>
      <c r="J39" s="141">
        <f>K38</f>
        <v>71.754426380998154</v>
      </c>
      <c r="K39" s="211">
        <f>IF(L39&gt;0,J39-L39,"Stopped")</f>
        <v>71.725351918107123</v>
      </c>
      <c r="L39" s="147">
        <f>eloss(J39,I39,$C$4,$D$4,C39,Gas,$H$4,Ah,BHe,BGHe,CIpot,Compound)</f>
        <v>2.9074462891031772E-2</v>
      </c>
      <c r="M39" s="206"/>
      <c r="N39" s="190">
        <f>N38+D38</f>
        <v>18.175999999999998</v>
      </c>
      <c r="O39" s="197">
        <f>N39/10</f>
        <v>1.8175999999999999</v>
      </c>
      <c r="P39" s="156"/>
      <c r="Q39" s="150"/>
      <c r="R39" s="155"/>
      <c r="S39" s="152"/>
      <c r="T39" s="151"/>
      <c r="U39" s="151"/>
    </row>
    <row r="40" spans="1:21" x14ac:dyDescent="0.2">
      <c r="A40" s="140"/>
      <c r="B40" s="141" t="s">
        <v>173</v>
      </c>
      <c r="C40" s="142">
        <f t="shared" si="11"/>
        <v>108</v>
      </c>
      <c r="D40" s="143">
        <v>2.5000000000000001E-2</v>
      </c>
      <c r="E40" s="144">
        <f>E36+D36</f>
        <v>18.126000000000001</v>
      </c>
      <c r="F40" s="141"/>
      <c r="G40" s="145"/>
      <c r="H40" s="141">
        <f t="shared" si="9"/>
        <v>1.42</v>
      </c>
      <c r="I40" s="141">
        <f>IF(emptycheck(F40),IF(emptycheck(G40),VLOOKUP(B40,Element,3,FALSE),G40)*D40/10 *1000,F40)</f>
        <v>3.55</v>
      </c>
      <c r="J40" s="141">
        <f>K36</f>
        <v>71.922746868233418</v>
      </c>
      <c r="K40" s="211">
        <f t="shared" si="8"/>
        <v>71.893724689300853</v>
      </c>
      <c r="L40" s="147">
        <f t="shared" si="6"/>
        <v>2.9022178932564202E-2</v>
      </c>
      <c r="M40" s="206"/>
      <c r="N40" s="190">
        <f>N36+D36</f>
        <v>18.126000000000001</v>
      </c>
      <c r="O40" s="197">
        <f t="shared" si="2"/>
        <v>1.8126000000000002</v>
      </c>
      <c r="P40" s="153"/>
      <c r="Q40" s="153"/>
      <c r="R40" s="151"/>
      <c r="S40" s="151"/>
      <c r="T40" s="151"/>
      <c r="U40" s="151"/>
    </row>
    <row r="41" spans="1:21" x14ac:dyDescent="0.2">
      <c r="A41" s="140"/>
      <c r="B41" s="164" t="s">
        <v>55</v>
      </c>
      <c r="C41" s="165">
        <f t="shared" si="11"/>
        <v>41</v>
      </c>
      <c r="D41" s="166">
        <v>2.5000000000000001E-2</v>
      </c>
      <c r="E41" s="185">
        <f t="shared" si="3"/>
        <v>18.151</v>
      </c>
      <c r="F41" s="164"/>
      <c r="G41" s="167"/>
      <c r="H41" s="164">
        <f t="shared" si="9"/>
        <v>8.6020000000000003</v>
      </c>
      <c r="I41" s="164">
        <f>IF(emptycheck(F41),IF(emptycheck(G41),VLOOKUP(B41,Element,3,FALSE),G41)*D41/10 *1000,F41)</f>
        <v>21.505000000000003</v>
      </c>
      <c r="J41" s="164">
        <f t="shared" si="4"/>
        <v>71.893724689300853</v>
      </c>
      <c r="K41" s="213">
        <f t="shared" si="8"/>
        <v>71.768389184944454</v>
      </c>
      <c r="L41" s="168">
        <f t="shared" si="6"/>
        <v>0.12533550435639995</v>
      </c>
      <c r="M41" s="208">
        <f>(J41+K41)/2</f>
        <v>71.831056937122653</v>
      </c>
      <c r="N41" s="190">
        <f t="shared" si="5"/>
        <v>18.151</v>
      </c>
      <c r="O41" s="197">
        <f t="shared" si="2"/>
        <v>1.8150999999999999</v>
      </c>
      <c r="P41" s="156"/>
    </row>
    <row r="42" spans="1:21" x14ac:dyDescent="0.2">
      <c r="A42" s="140"/>
      <c r="B42" s="141" t="s">
        <v>173</v>
      </c>
      <c r="C42" s="142">
        <f t="shared" si="11"/>
        <v>108</v>
      </c>
      <c r="D42" s="143">
        <v>2.5000000000000001E-2</v>
      </c>
      <c r="E42" s="144">
        <f t="shared" si="3"/>
        <v>18.175999999999998</v>
      </c>
      <c r="F42" s="141"/>
      <c r="G42" s="145"/>
      <c r="H42" s="141">
        <f t="shared" si="9"/>
        <v>1.42</v>
      </c>
      <c r="I42" s="141">
        <f>IF(emptycheck(F42),IF(emptycheck(G42),VLOOKUP(B42,Element,3,FALSE),G42)*D42/10 *1000,F42)</f>
        <v>3.55</v>
      </c>
      <c r="J42" s="141">
        <f t="shared" si="4"/>
        <v>71.768389184944454</v>
      </c>
      <c r="K42" s="211">
        <f t="shared" si="8"/>
        <v>71.739319067886839</v>
      </c>
      <c r="L42" s="147">
        <f t="shared" si="6"/>
        <v>2.9070117057614198E-2</v>
      </c>
      <c r="M42" s="206"/>
      <c r="N42" s="190">
        <f t="shared" si="5"/>
        <v>18.175999999999998</v>
      </c>
      <c r="O42" s="197">
        <f t="shared" si="2"/>
        <v>1.8175999999999999</v>
      </c>
      <c r="P42" s="156"/>
    </row>
    <row r="43" spans="1:21" x14ac:dyDescent="0.2">
      <c r="A43" s="140"/>
      <c r="B43" s="170" t="s">
        <v>172</v>
      </c>
      <c r="C43" s="171">
        <f t="shared" si="11"/>
        <v>107</v>
      </c>
      <c r="D43" s="172">
        <v>3.52</v>
      </c>
      <c r="E43" s="227">
        <f t="shared" si="3"/>
        <v>18.200999999999997</v>
      </c>
      <c r="F43" s="173"/>
      <c r="G43" s="174"/>
      <c r="H43" s="175">
        <f t="shared" si="9"/>
        <v>2.8</v>
      </c>
      <c r="I43" s="175">
        <f>IF(emptycheck(F43),IF(emptycheck(G43),VLOOKUP(B43,Element,3,FALSE),G43)*D43/10 *1000,F43)</f>
        <v>985.6</v>
      </c>
      <c r="J43" s="224">
        <f>K42</f>
        <v>71.739319067886839</v>
      </c>
      <c r="K43" s="225">
        <f>IF(L43&gt;0,J43-L43,"Stopped")</f>
        <v>64.22926887800179</v>
      </c>
      <c r="L43" s="226">
        <f>eloss(J43,I43,$C$4,$D$4,C43,Gas,$H$4,Ah,BHe,BGHe,CIpot,Compound)</f>
        <v>7.5100501898850496</v>
      </c>
      <c r="M43" s="205"/>
      <c r="N43" s="190">
        <f>N42+D42</f>
        <v>18.200999999999997</v>
      </c>
      <c r="O43" s="197">
        <f>N43/10</f>
        <v>1.8200999999999996</v>
      </c>
      <c r="P43" s="156"/>
    </row>
    <row r="44" spans="1:21" x14ac:dyDescent="0.2">
      <c r="A44" s="140"/>
      <c r="B44" s="141" t="s">
        <v>173</v>
      </c>
      <c r="C44" s="142">
        <f t="shared" si="11"/>
        <v>108</v>
      </c>
      <c r="D44" s="143">
        <v>2.5000000000000001E-2</v>
      </c>
      <c r="E44" s="144">
        <f t="shared" si="3"/>
        <v>21.720999999999997</v>
      </c>
      <c r="F44" s="141"/>
      <c r="G44" s="145"/>
      <c r="H44" s="141">
        <f t="shared" si="9"/>
        <v>1.42</v>
      </c>
      <c r="I44" s="141">
        <f>IF(emptycheck(F44),IF(emptycheck(G44),VLOOKUP(B44,Element,3,FALSE),G44)*D44/10 *1000,F44)</f>
        <v>3.55</v>
      </c>
      <c r="J44" s="141">
        <f t="shared" si="4"/>
        <v>64.22926887800179</v>
      </c>
      <c r="K44" s="211">
        <f t="shared" si="8"/>
        <v>64.197597816210987</v>
      </c>
      <c r="L44" s="147">
        <f t="shared" si="6"/>
        <v>3.1671061790802923E-2</v>
      </c>
      <c r="M44" s="206"/>
      <c r="N44" s="190">
        <f t="shared" si="5"/>
        <v>21.720999999999997</v>
      </c>
      <c r="O44" s="197">
        <f t="shared" si="2"/>
        <v>2.1720999999999995</v>
      </c>
      <c r="P44" s="156"/>
    </row>
    <row r="45" spans="1:21" x14ac:dyDescent="0.2">
      <c r="A45" s="140"/>
      <c r="B45" s="158" t="s">
        <v>26</v>
      </c>
      <c r="C45" s="159">
        <v>13</v>
      </c>
      <c r="D45" s="160">
        <v>2.5000000000000001E-2</v>
      </c>
      <c r="E45" s="161">
        <f t="shared" si="3"/>
        <v>21.745999999999995</v>
      </c>
      <c r="F45" s="158"/>
      <c r="G45" s="162"/>
      <c r="H45" s="158">
        <f t="shared" si="9"/>
        <v>2.698</v>
      </c>
      <c r="I45" s="158">
        <f>IF(emptycheck(F45),IF(emptycheck(G45),VLOOKUP(B45,Element,3,FALSE),G45)*D45/10 *1000,F45)</f>
        <v>6.7449999999999992</v>
      </c>
      <c r="J45" s="158">
        <f t="shared" si="4"/>
        <v>64.197597816210987</v>
      </c>
      <c r="K45" s="212">
        <f t="shared" si="8"/>
        <v>64.143837767763046</v>
      </c>
      <c r="L45" s="163">
        <f t="shared" si="6"/>
        <v>5.3760048447941244E-2</v>
      </c>
      <c r="M45" s="207">
        <f>(J45+K45)/2</f>
        <v>64.170717791987016</v>
      </c>
      <c r="N45" s="190">
        <f t="shared" si="5"/>
        <v>21.745999999999995</v>
      </c>
      <c r="O45" s="197">
        <f t="shared" si="2"/>
        <v>2.1745999999999994</v>
      </c>
      <c r="P45" s="149"/>
    </row>
    <row r="46" spans="1:21" x14ac:dyDescent="0.2">
      <c r="A46" s="140"/>
      <c r="B46" s="141" t="s">
        <v>173</v>
      </c>
      <c r="C46" s="142">
        <f t="shared" ref="C46:C54" si="12">VLOOKUP(B46,Element,2,FALSE)</f>
        <v>108</v>
      </c>
      <c r="D46" s="143">
        <v>2.5000000000000001E-2</v>
      </c>
      <c r="E46" s="144">
        <f t="shared" si="3"/>
        <v>21.770999999999994</v>
      </c>
      <c r="F46" s="141"/>
      <c r="G46" s="145"/>
      <c r="H46" s="141">
        <f t="shared" si="9"/>
        <v>1.42</v>
      </c>
      <c r="I46" s="141">
        <f>IF(emptycheck(F46),IF(emptycheck(G46),VLOOKUP(B46,Element,3,FALSE),G46)*D46/10 *1000,F46)</f>
        <v>3.55</v>
      </c>
      <c r="J46" s="141">
        <f t="shared" si="4"/>
        <v>64.143837767763046</v>
      </c>
      <c r="K46" s="211">
        <f t="shared" si="8"/>
        <v>64.112133984840057</v>
      </c>
      <c r="L46" s="147">
        <f t="shared" si="6"/>
        <v>3.1703782922988921E-2</v>
      </c>
      <c r="M46" s="206"/>
      <c r="N46" s="190">
        <f t="shared" si="5"/>
        <v>21.770999999999994</v>
      </c>
      <c r="O46" s="197">
        <f t="shared" si="2"/>
        <v>2.1770999999999994</v>
      </c>
      <c r="P46" s="156"/>
      <c r="Q46" s="150"/>
      <c r="R46" s="155"/>
      <c r="S46" s="152"/>
    </row>
    <row r="47" spans="1:21" x14ac:dyDescent="0.2">
      <c r="A47" s="140"/>
      <c r="B47" s="141" t="s">
        <v>173</v>
      </c>
      <c r="C47" s="142">
        <f>VLOOKUP(B47,Element,2,FALSE)</f>
        <v>108</v>
      </c>
      <c r="D47" s="143">
        <v>2.5000000000000001E-2</v>
      </c>
      <c r="E47" s="144">
        <f t="shared" si="3"/>
        <v>21.795999999999992</v>
      </c>
      <c r="F47" s="141"/>
      <c r="G47" s="145"/>
      <c r="H47" s="141">
        <f t="shared" si="9"/>
        <v>1.42</v>
      </c>
      <c r="I47" s="141">
        <f>IF(emptycheck(F47),IF(emptycheck(G47),VLOOKUP(B47,Element,3,FALSE),G47)*D47/10 *1000,F47)</f>
        <v>3.55</v>
      </c>
      <c r="J47" s="141">
        <f t="shared" si="4"/>
        <v>64.112133984840057</v>
      </c>
      <c r="K47" s="211">
        <f t="shared" si="8"/>
        <v>64.080418038387137</v>
      </c>
      <c r="L47" s="147">
        <f t="shared" si="6"/>
        <v>3.1715946452919752E-2</v>
      </c>
      <c r="M47" s="206"/>
      <c r="N47" s="190">
        <f t="shared" si="5"/>
        <v>21.795999999999992</v>
      </c>
      <c r="O47" s="197">
        <f t="shared" si="2"/>
        <v>2.1795999999999993</v>
      </c>
      <c r="P47" s="156"/>
      <c r="Q47" s="150"/>
      <c r="R47" s="155"/>
      <c r="S47" s="152"/>
      <c r="T47" s="151"/>
      <c r="U47" s="151"/>
    </row>
    <row r="48" spans="1:21" x14ac:dyDescent="0.2">
      <c r="A48" s="140"/>
      <c r="B48" s="214" t="s">
        <v>42</v>
      </c>
      <c r="C48" s="215">
        <f>VLOOKUP(B48,Element,2,FALSE)</f>
        <v>29</v>
      </c>
      <c r="D48" s="216">
        <v>2.5000000000000001E-2</v>
      </c>
      <c r="E48" s="216">
        <f t="shared" si="3"/>
        <v>21.820999999999991</v>
      </c>
      <c r="F48" s="214"/>
      <c r="G48" s="217"/>
      <c r="H48" s="214">
        <f t="shared" si="9"/>
        <v>8.9489999999999998</v>
      </c>
      <c r="I48" s="214">
        <f>IF(emptycheck(F48),IF(emptycheck(G48),VLOOKUP(B48,Element,3,FALSE),G48)*D48/10 *1000,F48)</f>
        <v>22.372499999999999</v>
      </c>
      <c r="J48" s="214">
        <f t="shared" si="4"/>
        <v>64.080418038387137</v>
      </c>
      <c r="K48" s="218">
        <f t="shared" si="8"/>
        <v>63.92857566778126</v>
      </c>
      <c r="L48" s="219">
        <f t="shared" si="6"/>
        <v>0.15184237060587691</v>
      </c>
      <c r="M48" s="220">
        <f>(J48+K48)/2</f>
        <v>64.004496853084191</v>
      </c>
      <c r="N48" s="190">
        <f t="shared" si="5"/>
        <v>21.820999999999991</v>
      </c>
      <c r="O48" s="197">
        <f t="shared" si="2"/>
        <v>2.1820999999999993</v>
      </c>
      <c r="P48" s="156"/>
      <c r="Q48" s="150"/>
      <c r="R48" s="155"/>
      <c r="S48" s="152"/>
      <c r="T48" s="151"/>
      <c r="U48" s="151"/>
    </row>
    <row r="49" spans="1:21" x14ac:dyDescent="0.2">
      <c r="A49" s="140"/>
      <c r="B49" s="141" t="s">
        <v>173</v>
      </c>
      <c r="C49" s="142">
        <f>VLOOKUP(B49,Element,2,FALSE)</f>
        <v>108</v>
      </c>
      <c r="D49" s="143">
        <v>2.5000000000000001E-2</v>
      </c>
      <c r="E49" s="144">
        <f t="shared" si="3"/>
        <v>21.845999999999989</v>
      </c>
      <c r="F49" s="141"/>
      <c r="G49" s="145"/>
      <c r="H49" s="141">
        <f t="shared" si="9"/>
        <v>1.42</v>
      </c>
      <c r="I49" s="141">
        <f>IF(emptycheck(F49),IF(emptycheck(G49),VLOOKUP(B49,Element,3,FALSE),G49)*D49/10 *1000,F49)</f>
        <v>3.55</v>
      </c>
      <c r="J49" s="141">
        <f t="shared" si="4"/>
        <v>63.92857566778126</v>
      </c>
      <c r="K49" s="211">
        <f t="shared" si="8"/>
        <v>63.896789076814997</v>
      </c>
      <c r="L49" s="147">
        <f t="shared" si="6"/>
        <v>3.1786590966262906E-2</v>
      </c>
      <c r="M49" s="206"/>
      <c r="N49" s="190">
        <f t="shared" si="5"/>
        <v>21.845999999999989</v>
      </c>
      <c r="O49" s="197">
        <f t="shared" si="2"/>
        <v>2.1845999999999988</v>
      </c>
      <c r="P49" s="156"/>
      <c r="Q49" s="150"/>
      <c r="R49" s="155"/>
      <c r="S49" s="152"/>
      <c r="T49" s="151"/>
      <c r="U49" s="151"/>
    </row>
    <row r="50" spans="1:21" x14ac:dyDescent="0.2">
      <c r="A50" s="140"/>
      <c r="B50" s="141" t="s">
        <v>173</v>
      </c>
      <c r="C50" s="142">
        <f t="shared" si="12"/>
        <v>108</v>
      </c>
      <c r="D50" s="143">
        <v>2.5000000000000001E-2</v>
      </c>
      <c r="E50" s="144">
        <f>E46+D46</f>
        <v>21.795999999999992</v>
      </c>
      <c r="F50" s="141"/>
      <c r="G50" s="145"/>
      <c r="H50" s="141">
        <f t="shared" si="9"/>
        <v>1.42</v>
      </c>
      <c r="I50" s="141">
        <f>IF(emptycheck(F50),IF(emptycheck(G50),VLOOKUP(B50,Element,3,FALSE),G50)*D50/10 *1000,F50)</f>
        <v>3.55</v>
      </c>
      <c r="J50" s="141">
        <f>K46</f>
        <v>64.112133984840057</v>
      </c>
      <c r="K50" s="211">
        <f t="shared" si="8"/>
        <v>64.080418038387137</v>
      </c>
      <c r="L50" s="147">
        <f t="shared" si="6"/>
        <v>3.1715946452919752E-2</v>
      </c>
      <c r="M50" s="206"/>
      <c r="N50" s="190">
        <f>N46+D46</f>
        <v>21.795999999999992</v>
      </c>
      <c r="O50" s="197">
        <f t="shared" si="2"/>
        <v>2.1795999999999993</v>
      </c>
      <c r="P50" s="156"/>
    </row>
    <row r="51" spans="1:21" x14ac:dyDescent="0.2">
      <c r="A51" s="140"/>
      <c r="B51" s="164" t="s">
        <v>55</v>
      </c>
      <c r="C51" s="165">
        <f t="shared" si="12"/>
        <v>41</v>
      </c>
      <c r="D51" s="166">
        <v>2.5000000000000001E-2</v>
      </c>
      <c r="E51" s="185">
        <f t="shared" si="3"/>
        <v>21.820999999999991</v>
      </c>
      <c r="F51" s="164"/>
      <c r="G51" s="167"/>
      <c r="H51" s="164">
        <f t="shared" si="9"/>
        <v>8.6020000000000003</v>
      </c>
      <c r="I51" s="164">
        <f>IF(emptycheck(F51),IF(emptycheck(G51),VLOOKUP(B51,Element,3,FALSE),G51)*D51/10 *1000,F51)</f>
        <v>21.505000000000003</v>
      </c>
      <c r="J51" s="164">
        <f t="shared" si="4"/>
        <v>64.080418038387137</v>
      </c>
      <c r="K51" s="213">
        <f t="shared" si="8"/>
        <v>63.943876734756962</v>
      </c>
      <c r="L51" s="168">
        <f t="shared" si="6"/>
        <v>0.13654130363017458</v>
      </c>
      <c r="M51" s="208">
        <f>(J51+K51)/2</f>
        <v>64.012147386572053</v>
      </c>
      <c r="N51" s="190">
        <f t="shared" si="5"/>
        <v>21.820999999999991</v>
      </c>
      <c r="O51" s="197">
        <f t="shared" si="2"/>
        <v>2.1820999999999993</v>
      </c>
      <c r="P51" s="156"/>
    </row>
    <row r="52" spans="1:21" x14ac:dyDescent="0.2">
      <c r="A52" s="140"/>
      <c r="B52" s="141" t="s">
        <v>173</v>
      </c>
      <c r="C52" s="142">
        <f t="shared" si="12"/>
        <v>108</v>
      </c>
      <c r="D52" s="143">
        <v>2.5000000000000001E-2</v>
      </c>
      <c r="E52" s="144">
        <f t="shared" si="3"/>
        <v>21.845999999999989</v>
      </c>
      <c r="F52" s="141"/>
      <c r="G52" s="145"/>
      <c r="H52" s="141">
        <f t="shared" si="9"/>
        <v>1.42</v>
      </c>
      <c r="I52" s="141">
        <f>IF(emptycheck(F52),IF(emptycheck(G52),VLOOKUP(B52,Element,3,FALSE),G52)*D52/10 *1000,F52)</f>
        <v>3.55</v>
      </c>
      <c r="J52" s="141">
        <f t="shared" si="4"/>
        <v>63.943876734756962</v>
      </c>
      <c r="K52" s="211">
        <f t="shared" si="8"/>
        <v>63.912096046970596</v>
      </c>
      <c r="L52" s="147">
        <f t="shared" ref="L52:L72" si="13">eloss(J52,I52,$C$4,$D$4,C52,Gas,$H$4,Ah,BHe,BGHe,CIpot,Compound)</f>
        <v>3.1780687786366002E-2</v>
      </c>
      <c r="M52" s="206"/>
      <c r="N52" s="190">
        <f t="shared" si="5"/>
        <v>21.845999999999989</v>
      </c>
      <c r="O52" s="197">
        <f t="shared" si="2"/>
        <v>2.1845999999999988</v>
      </c>
      <c r="P52" s="156"/>
    </row>
    <row r="53" spans="1:21" x14ac:dyDescent="0.2">
      <c r="A53" s="140"/>
      <c r="B53" s="170" t="s">
        <v>172</v>
      </c>
      <c r="C53" s="171">
        <f t="shared" si="12"/>
        <v>107</v>
      </c>
      <c r="D53" s="172">
        <v>3.47</v>
      </c>
      <c r="E53" s="227">
        <f t="shared" si="3"/>
        <v>21.870999999999988</v>
      </c>
      <c r="F53" s="173"/>
      <c r="G53" s="174"/>
      <c r="H53" s="175">
        <f t="shared" si="9"/>
        <v>2.8</v>
      </c>
      <c r="I53" s="175">
        <f>IF(emptycheck(F53),IF(emptycheck(G53),VLOOKUP(B53,Element,3,FALSE),G53)*D53/10 *1000,F53)</f>
        <v>971.59999999999991</v>
      </c>
      <c r="J53" s="224">
        <f>K52</f>
        <v>63.912096046970596</v>
      </c>
      <c r="K53" s="225">
        <f>IF(L53&gt;0,J53-L53,"Stopped")</f>
        <v>55.745616406767297</v>
      </c>
      <c r="L53" s="226">
        <f t="shared" si="13"/>
        <v>8.1664796402032991</v>
      </c>
      <c r="M53" s="205"/>
      <c r="N53" s="190">
        <f>N52+D52</f>
        <v>21.870999999999988</v>
      </c>
      <c r="O53" s="197">
        <f>N53/10</f>
        <v>2.1870999999999987</v>
      </c>
      <c r="P53" s="156"/>
    </row>
    <row r="54" spans="1:21" x14ac:dyDescent="0.2">
      <c r="A54" s="140"/>
      <c r="B54" s="141" t="s">
        <v>173</v>
      </c>
      <c r="C54" s="142">
        <f t="shared" si="12"/>
        <v>108</v>
      </c>
      <c r="D54" s="143">
        <v>2.5000000000000001E-2</v>
      </c>
      <c r="E54" s="144">
        <f t="shared" ref="E54:E73" si="14">E53+D53</f>
        <v>25.340999999999987</v>
      </c>
      <c r="F54" s="141"/>
      <c r="G54" s="145"/>
      <c r="H54" s="141">
        <f t="shared" si="9"/>
        <v>1.42</v>
      </c>
      <c r="I54" s="141">
        <f>IF(emptycheck(F54),IF(emptycheck(G54),VLOOKUP(B54,Element,3,FALSE),G54)*D54/10 *1000,F54)</f>
        <v>3.55</v>
      </c>
      <c r="J54" s="141">
        <f t="shared" si="4"/>
        <v>55.745616406767297</v>
      </c>
      <c r="K54" s="211">
        <f t="shared" si="8"/>
        <v>55.710245025811474</v>
      </c>
      <c r="L54" s="147">
        <f t="shared" si="13"/>
        <v>3.5371380955822929E-2</v>
      </c>
      <c r="M54" s="206"/>
      <c r="N54" s="190">
        <f t="shared" si="5"/>
        <v>25.340999999999987</v>
      </c>
      <c r="O54" s="197">
        <f t="shared" si="2"/>
        <v>2.5340999999999987</v>
      </c>
      <c r="P54" s="156"/>
    </row>
    <row r="55" spans="1:21" x14ac:dyDescent="0.2">
      <c r="A55" s="140"/>
      <c r="B55" s="158" t="s">
        <v>26</v>
      </c>
      <c r="C55" s="159">
        <v>13</v>
      </c>
      <c r="D55" s="160">
        <v>2.5000000000000001E-2</v>
      </c>
      <c r="E55" s="161">
        <f t="shared" si="14"/>
        <v>25.365999999999985</v>
      </c>
      <c r="F55" s="158"/>
      <c r="G55" s="162"/>
      <c r="H55" s="158">
        <f t="shared" si="9"/>
        <v>2.698</v>
      </c>
      <c r="I55" s="158">
        <f>IF(emptycheck(F55),IF(emptycheck(G55),VLOOKUP(B55,Element,3,FALSE),G55)*D55/10 *1000,F55)</f>
        <v>6.7449999999999992</v>
      </c>
      <c r="J55" s="158">
        <f t="shared" si="4"/>
        <v>55.710245025811474</v>
      </c>
      <c r="K55" s="212">
        <f t="shared" si="8"/>
        <v>55.650268060812209</v>
      </c>
      <c r="L55" s="163">
        <f t="shared" si="13"/>
        <v>5.9976964999265192E-2</v>
      </c>
      <c r="M55" s="207">
        <f>(J55+K55)/2</f>
        <v>55.680256543311842</v>
      </c>
      <c r="N55" s="190">
        <f t="shared" si="5"/>
        <v>25.365999999999985</v>
      </c>
      <c r="O55" s="197">
        <f t="shared" si="2"/>
        <v>2.5365999999999986</v>
      </c>
      <c r="P55" s="149"/>
    </row>
    <row r="56" spans="1:21" x14ac:dyDescent="0.2">
      <c r="A56" s="140"/>
      <c r="B56" s="141" t="s">
        <v>173</v>
      </c>
      <c r="C56" s="142">
        <f t="shared" ref="C56:C64" si="15">VLOOKUP(B56,Element,2,FALSE)</f>
        <v>108</v>
      </c>
      <c r="D56" s="143">
        <v>2.5000000000000001E-2</v>
      </c>
      <c r="E56" s="144">
        <f>E55+D55</f>
        <v>25.390999999999984</v>
      </c>
      <c r="F56" s="141"/>
      <c r="G56" s="145"/>
      <c r="H56" s="141">
        <f t="shared" si="9"/>
        <v>1.42</v>
      </c>
      <c r="I56" s="141">
        <f>IF(emptycheck(F56),IF(emptycheck(G56),VLOOKUP(B56,Element,3,FALSE),G56)*D56/10 *1000,F56)</f>
        <v>3.55</v>
      </c>
      <c r="J56" s="141">
        <f t="shared" si="4"/>
        <v>55.650268060812209</v>
      </c>
      <c r="K56" s="211">
        <f t="shared" si="8"/>
        <v>55.614849171138061</v>
      </c>
      <c r="L56" s="147">
        <f t="shared" si="13"/>
        <v>3.5418889674147636E-2</v>
      </c>
      <c r="M56" s="206"/>
      <c r="N56" s="190">
        <f t="shared" si="5"/>
        <v>25.390999999999984</v>
      </c>
      <c r="O56" s="197">
        <f t="shared" si="2"/>
        <v>2.5390999999999986</v>
      </c>
      <c r="P56" s="156"/>
      <c r="Q56" s="150"/>
      <c r="R56" s="155"/>
      <c r="S56" s="152"/>
    </row>
    <row r="57" spans="1:21" x14ac:dyDescent="0.2">
      <c r="A57" s="140"/>
      <c r="B57" s="141" t="s">
        <v>173</v>
      </c>
      <c r="C57" s="142">
        <f>VLOOKUP(B57,Element,2,FALSE)</f>
        <v>108</v>
      </c>
      <c r="D57" s="143">
        <v>2.5000000000000001E-2</v>
      </c>
      <c r="E57" s="144">
        <f>E56+D56</f>
        <v>25.415999999999983</v>
      </c>
      <c r="F57" s="141"/>
      <c r="G57" s="145"/>
      <c r="H57" s="141">
        <f>VLOOKUP(B57,Element,3,FALSE)</f>
        <v>1.42</v>
      </c>
      <c r="I57" s="141">
        <f>IF(emptycheck(F57),IF(emptycheck(G57),VLOOKUP(B57,Element,3,FALSE),G57)*D57/10 *1000,F57)</f>
        <v>3.55</v>
      </c>
      <c r="J57" s="141">
        <f>K56</f>
        <v>55.614849171138061</v>
      </c>
      <c r="K57" s="211">
        <f>IF(L57&gt;0,J57-L57,"Stopped")</f>
        <v>55.579412595067581</v>
      </c>
      <c r="L57" s="147">
        <f t="shared" si="13"/>
        <v>3.5436576070480896E-2</v>
      </c>
      <c r="M57" s="206"/>
      <c r="N57" s="190">
        <f>N56+D56</f>
        <v>25.415999999999983</v>
      </c>
      <c r="O57" s="197">
        <f>N57/10</f>
        <v>2.5415999999999981</v>
      </c>
      <c r="P57" s="156"/>
      <c r="Q57" s="150"/>
      <c r="R57" s="155"/>
      <c r="S57" s="152"/>
      <c r="T57" s="151"/>
      <c r="U57" s="151"/>
    </row>
    <row r="58" spans="1:21" x14ac:dyDescent="0.2">
      <c r="A58" s="140"/>
      <c r="B58" s="214" t="s">
        <v>42</v>
      </c>
      <c r="C58" s="215">
        <f>VLOOKUP(B58,Element,2,FALSE)</f>
        <v>29</v>
      </c>
      <c r="D58" s="216">
        <v>2.5000000000000001E-2</v>
      </c>
      <c r="E58" s="216">
        <f>E57+D57</f>
        <v>25.440999999999981</v>
      </c>
      <c r="F58" s="214"/>
      <c r="G58" s="217"/>
      <c r="H58" s="214">
        <f>VLOOKUP(B58,Element,3,FALSE)</f>
        <v>8.9489999999999998</v>
      </c>
      <c r="I58" s="214">
        <f>IF(emptycheck(F58),IF(emptycheck(G58),VLOOKUP(B58,Element,3,FALSE),G58)*D58/10 *1000,F58)</f>
        <v>22.372499999999999</v>
      </c>
      <c r="J58" s="214">
        <f>K57</f>
        <v>55.579412595067581</v>
      </c>
      <c r="K58" s="218">
        <f>IF(L58&gt;0,J58-L58,"Stopped")</f>
        <v>55.410303380181958</v>
      </c>
      <c r="L58" s="219">
        <f t="shared" si="13"/>
        <v>0.16910921488562281</v>
      </c>
      <c r="M58" s="220">
        <f>(J58+K58)/2</f>
        <v>55.494857987624769</v>
      </c>
      <c r="N58" s="190">
        <f>N57+D57</f>
        <v>25.440999999999981</v>
      </c>
      <c r="O58" s="197">
        <f>N58/10</f>
        <v>2.544099999999998</v>
      </c>
      <c r="P58" s="156"/>
      <c r="Q58" s="150"/>
      <c r="R58" s="155"/>
      <c r="S58" s="152"/>
      <c r="T58" s="151"/>
      <c r="U58" s="151"/>
    </row>
    <row r="59" spans="1:21" x14ac:dyDescent="0.2">
      <c r="A59" s="140"/>
      <c r="B59" s="141" t="s">
        <v>173</v>
      </c>
      <c r="C59" s="142">
        <f>VLOOKUP(B59,Element,2,FALSE)</f>
        <v>108</v>
      </c>
      <c r="D59" s="143">
        <v>2.5000000000000001E-2</v>
      </c>
      <c r="E59" s="144">
        <f>E58+D58</f>
        <v>25.46599999999998</v>
      </c>
      <c r="F59" s="141"/>
      <c r="G59" s="145"/>
      <c r="H59" s="141">
        <f>VLOOKUP(B59,Element,3,FALSE)</f>
        <v>1.42</v>
      </c>
      <c r="I59" s="141">
        <f>IF(emptycheck(F59),IF(emptycheck(G59),VLOOKUP(B59,Element,3,FALSE),G59)*D59/10 *1000,F59)</f>
        <v>3.55</v>
      </c>
      <c r="J59" s="141">
        <f>K58</f>
        <v>55.410303380181958</v>
      </c>
      <c r="K59" s="211">
        <f>IF(L59&gt;0,J59-L59,"Stopped")</f>
        <v>55.374764254919299</v>
      </c>
      <c r="L59" s="147">
        <f t="shared" si="13"/>
        <v>3.5539125262658899E-2</v>
      </c>
      <c r="M59" s="206"/>
      <c r="N59" s="190">
        <f>N58+D58</f>
        <v>25.46599999999998</v>
      </c>
      <c r="O59" s="197">
        <f>N59/10</f>
        <v>2.546599999999998</v>
      </c>
      <c r="P59" s="156"/>
      <c r="Q59" s="150"/>
      <c r="R59" s="155"/>
      <c r="S59" s="152"/>
      <c r="T59" s="151"/>
      <c r="U59" s="151"/>
    </row>
    <row r="60" spans="1:21" x14ac:dyDescent="0.2">
      <c r="A60" s="140"/>
      <c r="B60" s="141" t="s">
        <v>173</v>
      </c>
      <c r="C60" s="142">
        <f t="shared" si="15"/>
        <v>108</v>
      </c>
      <c r="D60" s="143">
        <v>2.5000000000000001E-2</v>
      </c>
      <c r="E60" s="144">
        <f>E56+D56</f>
        <v>25.415999999999983</v>
      </c>
      <c r="F60" s="141"/>
      <c r="G60" s="145"/>
      <c r="H60" s="141">
        <f t="shared" si="9"/>
        <v>1.42</v>
      </c>
      <c r="I60" s="141">
        <f>IF(emptycheck(F60),IF(emptycheck(G60),VLOOKUP(B60,Element,3,FALSE),G60)*D60/10 *1000,F60)</f>
        <v>3.55</v>
      </c>
      <c r="J60" s="141">
        <f>K56</f>
        <v>55.614849171138061</v>
      </c>
      <c r="K60" s="211">
        <f t="shared" si="8"/>
        <v>55.579412595067581</v>
      </c>
      <c r="L60" s="147">
        <f t="shared" si="13"/>
        <v>3.5436576070480896E-2</v>
      </c>
      <c r="M60" s="206"/>
      <c r="N60" s="190">
        <f>N56+D56</f>
        <v>25.415999999999983</v>
      </c>
      <c r="O60" s="197">
        <f t="shared" si="2"/>
        <v>2.5415999999999981</v>
      </c>
      <c r="P60" s="156"/>
    </row>
    <row r="61" spans="1:21" x14ac:dyDescent="0.2">
      <c r="A61" s="140"/>
      <c r="B61" s="164" t="s">
        <v>55</v>
      </c>
      <c r="C61" s="165">
        <f t="shared" si="15"/>
        <v>41</v>
      </c>
      <c r="D61" s="166">
        <v>2.5000000000000001E-2</v>
      </c>
      <c r="E61" s="185">
        <f t="shared" si="14"/>
        <v>25.440999999999981</v>
      </c>
      <c r="F61" s="164"/>
      <c r="G61" s="169"/>
      <c r="H61" s="164">
        <f t="shared" si="9"/>
        <v>8.6020000000000003</v>
      </c>
      <c r="I61" s="164">
        <f>IF(emptycheck(F61),IF(emptycheck(G61),VLOOKUP(B61,Element,3,FALSE),G61)*D61/10 *1000,F61)</f>
        <v>21.505000000000003</v>
      </c>
      <c r="J61" s="164">
        <f t="shared" si="4"/>
        <v>55.579412595067581</v>
      </c>
      <c r="K61" s="213">
        <f t="shared" si="8"/>
        <v>55.427462105648317</v>
      </c>
      <c r="L61" s="168">
        <f t="shared" si="13"/>
        <v>0.15195048941926359</v>
      </c>
      <c r="M61" s="208">
        <f>(J61+K61)/2</f>
        <v>55.503437350357949</v>
      </c>
      <c r="N61" s="190">
        <f t="shared" si="5"/>
        <v>25.440999999999981</v>
      </c>
      <c r="O61" s="197">
        <f t="shared" si="2"/>
        <v>2.544099999999998</v>
      </c>
      <c r="P61" s="156"/>
    </row>
    <row r="62" spans="1:21" x14ac:dyDescent="0.2">
      <c r="A62" s="140"/>
      <c r="B62" s="141" t="s">
        <v>173</v>
      </c>
      <c r="C62" s="142">
        <f t="shared" si="15"/>
        <v>108</v>
      </c>
      <c r="D62" s="143">
        <v>2.5000000000000001E-2</v>
      </c>
      <c r="E62" s="144">
        <f t="shared" si="14"/>
        <v>25.46599999999998</v>
      </c>
      <c r="F62" s="157"/>
      <c r="G62" s="145"/>
      <c r="H62" s="157">
        <f t="shared" si="9"/>
        <v>1.42</v>
      </c>
      <c r="I62" s="157">
        <f>IF(emptycheck(F62),IF(emptycheck(G62),VLOOKUP(B62,Element,3,FALSE),G62)*D62/10 *1000,F62)</f>
        <v>3.55</v>
      </c>
      <c r="J62" s="157">
        <f t="shared" si="4"/>
        <v>55.427462105648317</v>
      </c>
      <c r="K62" s="146">
        <f t="shared" si="8"/>
        <v>55.391931609846381</v>
      </c>
      <c r="L62" s="147">
        <f t="shared" si="13"/>
        <v>3.5530495801936013E-2</v>
      </c>
      <c r="M62" s="206"/>
      <c r="N62" s="190">
        <f t="shared" si="5"/>
        <v>25.46599999999998</v>
      </c>
      <c r="O62" s="197">
        <f t="shared" si="2"/>
        <v>2.546599999999998</v>
      </c>
      <c r="P62" s="156"/>
    </row>
    <row r="63" spans="1:21" x14ac:dyDescent="0.2">
      <c r="A63" s="140"/>
      <c r="B63" s="170" t="s">
        <v>172</v>
      </c>
      <c r="C63" s="171">
        <f t="shared" si="15"/>
        <v>107</v>
      </c>
      <c r="D63" s="172">
        <v>3.46</v>
      </c>
      <c r="E63" s="227">
        <f t="shared" si="14"/>
        <v>25.490999999999978</v>
      </c>
      <c r="F63" s="173"/>
      <c r="G63" s="174"/>
      <c r="H63" s="175">
        <f t="shared" si="9"/>
        <v>2.8</v>
      </c>
      <c r="I63" s="175">
        <f>IF(emptycheck(F63),IF(emptycheck(G63),VLOOKUP(B63,Element,3,FALSE),G63)*D63/10 *1000,F63)</f>
        <v>968.79999999999984</v>
      </c>
      <c r="J63" s="224">
        <f>K62</f>
        <v>55.391931609846381</v>
      </c>
      <c r="K63" s="225">
        <f>IF(L63&gt;0,J63-L63,"Stopped")</f>
        <v>46.157639783989964</v>
      </c>
      <c r="L63" s="226">
        <f t="shared" si="13"/>
        <v>9.2342918258564168</v>
      </c>
      <c r="M63" s="205"/>
      <c r="N63" s="190">
        <f>N62+D62</f>
        <v>25.490999999999978</v>
      </c>
      <c r="O63" s="197">
        <f>N63/10</f>
        <v>2.5490999999999979</v>
      </c>
      <c r="P63" s="156"/>
    </row>
    <row r="64" spans="1:21" x14ac:dyDescent="0.2">
      <c r="A64" s="140"/>
      <c r="B64" s="141" t="s">
        <v>173</v>
      </c>
      <c r="C64" s="142">
        <f t="shared" si="15"/>
        <v>108</v>
      </c>
      <c r="D64" s="143">
        <v>2.5000000000000001E-2</v>
      </c>
      <c r="E64" s="144">
        <f t="shared" si="14"/>
        <v>28.950999999999979</v>
      </c>
      <c r="F64" s="141"/>
      <c r="G64" s="145"/>
      <c r="H64" s="141">
        <f t="shared" si="9"/>
        <v>1.42</v>
      </c>
      <c r="I64" s="141">
        <f>IF(emptycheck(F64),IF(emptycheck(G64),VLOOKUP(B64,Element,3,FALSE),G64)*D64/10 *1000,F64)</f>
        <v>3.55</v>
      </c>
      <c r="J64" s="141">
        <f t="shared" si="4"/>
        <v>46.157639783989964</v>
      </c>
      <c r="K64" s="211">
        <f t="shared" si="8"/>
        <v>46.116682518757656</v>
      </c>
      <c r="L64" s="147">
        <f t="shared" si="13"/>
        <v>4.0957265232307805E-2</v>
      </c>
      <c r="M64" s="206"/>
      <c r="N64" s="190">
        <f t="shared" si="5"/>
        <v>28.950999999999979</v>
      </c>
      <c r="O64" s="197">
        <f t="shared" si="2"/>
        <v>2.895099999999998</v>
      </c>
      <c r="P64" s="156"/>
      <c r="Q64" s="150"/>
      <c r="R64" s="156"/>
      <c r="S64" s="152"/>
    </row>
    <row r="65" spans="1:21" x14ac:dyDescent="0.2">
      <c r="A65" s="140"/>
      <c r="B65" s="158" t="s">
        <v>26</v>
      </c>
      <c r="C65" s="159">
        <v>13</v>
      </c>
      <c r="D65" s="160">
        <v>2.5000000000000001E-2</v>
      </c>
      <c r="E65" s="161">
        <f t="shared" si="14"/>
        <v>28.975999999999978</v>
      </c>
      <c r="F65" s="158"/>
      <c r="G65" s="162"/>
      <c r="H65" s="158">
        <f t="shared" si="9"/>
        <v>2.698</v>
      </c>
      <c r="I65" s="158">
        <f>IF(emptycheck(F65),IF(emptycheck(G65),VLOOKUP(B65,Element,3,FALSE),G65)*D65/10 *1000,F65)</f>
        <v>6.7449999999999992</v>
      </c>
      <c r="J65" s="158">
        <f t="shared" si="4"/>
        <v>46.116682518757656</v>
      </c>
      <c r="K65" s="212">
        <f t="shared" si="8"/>
        <v>46.04743451875089</v>
      </c>
      <c r="L65" s="163">
        <f t="shared" si="13"/>
        <v>6.9248000006766119E-2</v>
      </c>
      <c r="M65" s="207">
        <f>(J65+K65)/2</f>
        <v>46.082058518754273</v>
      </c>
      <c r="N65" s="190">
        <f t="shared" si="5"/>
        <v>28.975999999999978</v>
      </c>
      <c r="O65" s="197">
        <f t="shared" si="2"/>
        <v>2.897599999999998</v>
      </c>
      <c r="P65" s="149"/>
    </row>
    <row r="66" spans="1:21" x14ac:dyDescent="0.2">
      <c r="A66" s="140"/>
      <c r="B66" s="141" t="s">
        <v>173</v>
      </c>
      <c r="C66" s="142">
        <f t="shared" ref="C66:C72" si="16">VLOOKUP(B66,Element,2,FALSE)</f>
        <v>108</v>
      </c>
      <c r="D66" s="143">
        <v>2.5000000000000001E-2</v>
      </c>
      <c r="E66" s="144">
        <f t="shared" si="14"/>
        <v>29.000999999999976</v>
      </c>
      <c r="F66" s="141"/>
      <c r="G66" s="145"/>
      <c r="H66" s="141">
        <f t="shared" si="9"/>
        <v>1.42</v>
      </c>
      <c r="I66" s="141">
        <f>IF(emptycheck(F66),IF(emptycheck(G66),VLOOKUP(B66,Element,3,FALSE),G66)*D66/10 *1000,F66)</f>
        <v>3.55</v>
      </c>
      <c r="J66" s="141">
        <f t="shared" si="4"/>
        <v>46.04743451875089</v>
      </c>
      <c r="K66" s="211">
        <f t="shared" si="8"/>
        <v>46.00639980908322</v>
      </c>
      <c r="L66" s="147">
        <f t="shared" si="13"/>
        <v>4.1034709667670199E-2</v>
      </c>
      <c r="M66" s="206"/>
      <c r="N66" s="190">
        <f t="shared" si="5"/>
        <v>29.000999999999976</v>
      </c>
      <c r="O66" s="197">
        <f t="shared" si="2"/>
        <v>2.9000999999999975</v>
      </c>
      <c r="P66" s="156"/>
    </row>
    <row r="67" spans="1:21" x14ac:dyDescent="0.2">
      <c r="A67" s="140"/>
      <c r="B67" s="141" t="s">
        <v>173</v>
      </c>
      <c r="C67" s="142">
        <f>VLOOKUP(B67,Element,2,FALSE)</f>
        <v>108</v>
      </c>
      <c r="D67" s="143">
        <v>2.5000000000000001E-2</v>
      </c>
      <c r="E67" s="144">
        <f t="shared" si="14"/>
        <v>29.025999999999975</v>
      </c>
      <c r="F67" s="141"/>
      <c r="G67" s="145"/>
      <c r="H67" s="141">
        <f t="shared" si="9"/>
        <v>1.42</v>
      </c>
      <c r="I67" s="141">
        <f>IF(emptycheck(F67),IF(emptycheck(G67),VLOOKUP(B67,Element,3,FALSE),G67)*D67/10 *1000,F67)</f>
        <v>3.55</v>
      </c>
      <c r="J67" s="141">
        <f t="shared" si="4"/>
        <v>46.00639980908322</v>
      </c>
      <c r="K67" s="211">
        <f t="shared" si="8"/>
        <v>45.965336176106476</v>
      </c>
      <c r="L67" s="147">
        <f>eloss(J67,I67,$C$4,$D$4,C67,Gas,$H$4,Ah,BHe,BGHe,CIpot,Compound)</f>
        <v>4.1063632976744202E-2</v>
      </c>
      <c r="M67" s="206"/>
      <c r="N67" s="190">
        <f t="shared" si="5"/>
        <v>29.025999999999975</v>
      </c>
      <c r="O67" s="197">
        <f t="shared" si="2"/>
        <v>2.9025999999999974</v>
      </c>
      <c r="P67" s="156"/>
      <c r="Q67" s="150"/>
      <c r="R67" s="155"/>
      <c r="S67" s="152"/>
      <c r="T67" s="151"/>
      <c r="U67" s="151"/>
    </row>
    <row r="68" spans="1:21" x14ac:dyDescent="0.2">
      <c r="A68" s="140"/>
      <c r="B68" s="214" t="s">
        <v>42</v>
      </c>
      <c r="C68" s="215">
        <f>VLOOKUP(B68,Element,2,FALSE)</f>
        <v>29</v>
      </c>
      <c r="D68" s="216">
        <v>2.5000000000000001E-2</v>
      </c>
      <c r="E68" s="216">
        <f t="shared" si="14"/>
        <v>29.050999999999974</v>
      </c>
      <c r="F68" s="214"/>
      <c r="G68" s="217"/>
      <c r="H68" s="214">
        <f t="shared" si="9"/>
        <v>8.9489999999999998</v>
      </c>
      <c r="I68" s="214">
        <f>IF(emptycheck(F68),IF(emptycheck(G68),VLOOKUP(B68,Element,3,FALSE),G68)*D68/10 *1000,F68)</f>
        <v>22.372499999999999</v>
      </c>
      <c r="J68" s="214">
        <f t="shared" si="4"/>
        <v>45.965336176106476</v>
      </c>
      <c r="K68" s="218">
        <f t="shared" si="8"/>
        <v>45.772086062375507</v>
      </c>
      <c r="L68" s="219">
        <f>eloss(J68,I68,$C$4,$D$4,C68,Gas,$H$4,Ah,BHe,BGHe,CIpot,Compound)</f>
        <v>0.19325011373096856</v>
      </c>
      <c r="M68" s="220">
        <f>(J68+K68)/2</f>
        <v>45.868711119240992</v>
      </c>
      <c r="N68" s="190">
        <f t="shared" si="5"/>
        <v>29.050999999999974</v>
      </c>
      <c r="O68" s="197">
        <f t="shared" si="2"/>
        <v>2.9050999999999974</v>
      </c>
      <c r="P68" s="156"/>
      <c r="Q68" s="150"/>
      <c r="R68" s="155"/>
      <c r="S68" s="152"/>
      <c r="T68" s="151"/>
      <c r="U68" s="151"/>
    </row>
    <row r="69" spans="1:21" x14ac:dyDescent="0.2">
      <c r="A69" s="140"/>
      <c r="B69" s="141" t="s">
        <v>173</v>
      </c>
      <c r="C69" s="142">
        <f>VLOOKUP(B69,Element,2,FALSE)</f>
        <v>108</v>
      </c>
      <c r="D69" s="143">
        <v>2.5000000000000001E-2</v>
      </c>
      <c r="E69" s="144">
        <f t="shared" si="14"/>
        <v>29.075999999999972</v>
      </c>
      <c r="F69" s="141"/>
      <c r="G69" s="145"/>
      <c r="H69" s="141">
        <f t="shared" si="9"/>
        <v>1.42</v>
      </c>
      <c r="I69" s="141">
        <f>IF(emptycheck(F69),IF(emptycheck(G69),VLOOKUP(B69,Element,3,FALSE),G69)*D69/10 *1000,F69)</f>
        <v>3.55</v>
      </c>
      <c r="J69" s="141">
        <f t="shared" si="4"/>
        <v>45.772086062375507</v>
      </c>
      <c r="K69" s="211">
        <f t="shared" si="8"/>
        <v>45.730856361506326</v>
      </c>
      <c r="L69" s="147">
        <f>eloss(J69,I69,$C$4,$D$4,C69,Gas,$H$4,Ah,BHe,BGHe,CIpot,Compound)</f>
        <v>4.1229700869180874E-2</v>
      </c>
      <c r="M69" s="206"/>
      <c r="N69" s="190">
        <f t="shared" si="5"/>
        <v>29.075999999999972</v>
      </c>
      <c r="O69" s="197">
        <f t="shared" si="2"/>
        <v>2.9075999999999973</v>
      </c>
      <c r="P69" s="156"/>
      <c r="Q69" s="150"/>
      <c r="R69" s="155"/>
      <c r="S69" s="152"/>
      <c r="T69" s="151"/>
      <c r="U69" s="151"/>
    </row>
    <row r="70" spans="1:21" x14ac:dyDescent="0.2">
      <c r="A70" s="140"/>
      <c r="B70" s="141" t="s">
        <v>173</v>
      </c>
      <c r="C70" s="142">
        <f t="shared" si="16"/>
        <v>108</v>
      </c>
      <c r="D70" s="143">
        <v>2.5000000000000001E-2</v>
      </c>
      <c r="E70" s="144">
        <f>E66+D66</f>
        <v>29.025999999999975</v>
      </c>
      <c r="F70" s="141"/>
      <c r="G70" s="145"/>
      <c r="H70" s="141">
        <f t="shared" si="9"/>
        <v>1.42</v>
      </c>
      <c r="I70" s="141">
        <f>IF(emptycheck(F70),IF(emptycheck(G70),VLOOKUP(B70,Element,3,FALSE),G70)*D70/10 *1000,F70)</f>
        <v>3.55</v>
      </c>
      <c r="J70" s="141">
        <f>K66</f>
        <v>46.00639980908322</v>
      </c>
      <c r="K70" s="211">
        <f t="shared" si="8"/>
        <v>45.965336176106476</v>
      </c>
      <c r="L70" s="147">
        <f t="shared" si="13"/>
        <v>4.1063632976744202E-2</v>
      </c>
      <c r="M70" s="206"/>
      <c r="N70" s="190">
        <f>N66+D66</f>
        <v>29.025999999999975</v>
      </c>
      <c r="O70" s="197">
        <f t="shared" si="2"/>
        <v>2.9025999999999974</v>
      </c>
      <c r="P70" s="156"/>
    </row>
    <row r="71" spans="1:21" x14ac:dyDescent="0.2">
      <c r="A71" s="140"/>
      <c r="B71" s="164" t="s">
        <v>55</v>
      </c>
      <c r="C71" s="165">
        <f t="shared" si="16"/>
        <v>41</v>
      </c>
      <c r="D71" s="166">
        <v>2.5000000000000001E-2</v>
      </c>
      <c r="E71" s="185">
        <f t="shared" si="14"/>
        <v>29.050999999999974</v>
      </c>
      <c r="F71" s="164"/>
      <c r="G71" s="169"/>
      <c r="H71" s="164">
        <f t="shared" si="9"/>
        <v>8.6020000000000003</v>
      </c>
      <c r="I71" s="164">
        <f>IF(emptycheck(F71),IF(emptycheck(G71),VLOOKUP(B71,Element,3,FALSE),G71)*D71/10 *1000,F71)</f>
        <v>21.505000000000003</v>
      </c>
      <c r="J71" s="164">
        <f t="shared" si="4"/>
        <v>45.965336176106476</v>
      </c>
      <c r="K71" s="213">
        <f t="shared" si="8"/>
        <v>45.792575126472343</v>
      </c>
      <c r="L71" s="168">
        <f t="shared" si="13"/>
        <v>0.17276104963413275</v>
      </c>
      <c r="M71" s="208">
        <f>(J71+K71)/2</f>
        <v>45.878955651289409</v>
      </c>
      <c r="N71" s="190">
        <f t="shared" si="5"/>
        <v>29.050999999999974</v>
      </c>
      <c r="O71" s="197">
        <f t="shared" si="2"/>
        <v>2.9050999999999974</v>
      </c>
      <c r="P71" s="156"/>
    </row>
    <row r="72" spans="1:21" x14ac:dyDescent="0.2">
      <c r="A72" s="140"/>
      <c r="B72" s="141" t="s">
        <v>173</v>
      </c>
      <c r="C72" s="142">
        <f t="shared" si="16"/>
        <v>108</v>
      </c>
      <c r="D72" s="143">
        <v>2.5000000000000001E-2</v>
      </c>
      <c r="E72" s="144">
        <f t="shared" si="14"/>
        <v>29.075999999999972</v>
      </c>
      <c r="F72" s="157"/>
      <c r="G72" s="145"/>
      <c r="H72" s="157">
        <f t="shared" si="9"/>
        <v>1.42</v>
      </c>
      <c r="I72" s="157">
        <f>IF(emptycheck(F72),IF(emptycheck(G72),VLOOKUP(B72,Element,3,FALSE),G72)*D72/10 *1000,F72)</f>
        <v>3.55</v>
      </c>
      <c r="J72" s="157">
        <f t="shared" si="4"/>
        <v>45.792575126472343</v>
      </c>
      <c r="K72" s="146">
        <f t="shared" si="8"/>
        <v>45.751360009298779</v>
      </c>
      <c r="L72" s="147">
        <f t="shared" si="13"/>
        <v>4.1215117173564408E-2</v>
      </c>
      <c r="M72" s="206"/>
      <c r="N72" s="190">
        <f t="shared" si="5"/>
        <v>29.075999999999972</v>
      </c>
      <c r="O72" s="197">
        <f t="shared" si="2"/>
        <v>2.9075999999999973</v>
      </c>
      <c r="P72" s="156"/>
    </row>
    <row r="73" spans="1:21" x14ac:dyDescent="0.2">
      <c r="A73" s="148"/>
      <c r="B73" s="133" t="s">
        <v>162</v>
      </c>
      <c r="C73" s="134">
        <f>VLOOKUP(B73,Element,2,FALSE)</f>
        <v>103</v>
      </c>
      <c r="D73" s="135">
        <v>0.127</v>
      </c>
      <c r="E73" s="136">
        <f t="shared" si="14"/>
        <v>29.100999999999971</v>
      </c>
      <c r="F73" s="137"/>
      <c r="G73" s="138"/>
      <c r="H73" s="137">
        <f>VLOOKUP(B73,Element,3,FALSE)</f>
        <v>7.93</v>
      </c>
      <c r="I73" s="137">
        <f>IF(emptycheck(F73),IF(emptycheck(G73),VLOOKUP(B73,Element,3,FALSE),G73)*D73/10 *1000,F73)</f>
        <v>100.711</v>
      </c>
      <c r="J73" s="137">
        <f>K72</f>
        <v>45.751360009298779</v>
      </c>
      <c r="K73" s="210">
        <f>IF(L73&gt;0,J73-L73,"Stopped")</f>
        <v>44.893110338892527</v>
      </c>
      <c r="L73" s="139">
        <f>eloss(J73,I73,$C$4,$D$4,C73,Gas,$H$4,Ah,BHe,BGHe,CIpot,Compound)</f>
        <v>0.85824967040625211</v>
      </c>
      <c r="M73" s="148"/>
      <c r="N73" s="148"/>
      <c r="O73" s="221"/>
    </row>
    <row r="74" spans="1:21" x14ac:dyDescent="0.2">
      <c r="A74" s="148"/>
      <c r="B74" s="148"/>
      <c r="C74" s="148"/>
      <c r="D74" s="222"/>
      <c r="E74" s="223"/>
      <c r="F74" s="148"/>
      <c r="G74" s="148"/>
      <c r="H74" s="148"/>
      <c r="I74" s="148"/>
      <c r="J74" s="148"/>
      <c r="K74" s="148"/>
      <c r="L74" s="148"/>
      <c r="M74" s="148"/>
      <c r="N74" s="148"/>
      <c r="O74" s="221"/>
    </row>
    <row r="75" spans="1:21" x14ac:dyDescent="0.2">
      <c r="A75" s="148"/>
      <c r="B75" s="148"/>
      <c r="C75" s="148"/>
      <c r="D75" s="222"/>
      <c r="E75" s="223"/>
      <c r="F75" s="148"/>
      <c r="G75" s="148"/>
      <c r="H75" s="148"/>
      <c r="I75" s="148"/>
      <c r="J75" s="148"/>
      <c r="K75" s="148"/>
      <c r="L75" s="148"/>
      <c r="M75" s="148"/>
      <c r="N75" s="148"/>
      <c r="O75" s="221"/>
    </row>
    <row r="76" spans="1:21" x14ac:dyDescent="0.2">
      <c r="A76" s="148"/>
      <c r="B76" s="148"/>
      <c r="C76" s="148"/>
      <c r="D76" s="222"/>
      <c r="E76" s="223"/>
      <c r="F76" s="148"/>
      <c r="G76" s="148"/>
      <c r="H76" s="148"/>
      <c r="I76" s="148"/>
      <c r="J76" s="148"/>
      <c r="K76" s="148"/>
      <c r="L76" s="148"/>
      <c r="M76" s="148"/>
      <c r="N76" s="148"/>
      <c r="O76" s="221"/>
    </row>
    <row r="77" spans="1:21" x14ac:dyDescent="0.2">
      <c r="A77" s="148"/>
      <c r="B77" s="148"/>
      <c r="C77" s="148"/>
      <c r="D77" s="222"/>
      <c r="E77" s="223"/>
      <c r="F77" s="148"/>
      <c r="G77" s="148"/>
      <c r="H77" s="148"/>
      <c r="I77" s="148"/>
      <c r="J77" s="148"/>
      <c r="K77" s="148"/>
      <c r="L77" s="148"/>
      <c r="M77" s="148"/>
      <c r="N77" s="148"/>
      <c r="O77" s="221"/>
    </row>
    <row r="78" spans="1:21" x14ac:dyDescent="0.2">
      <c r="A78" s="148"/>
      <c r="B78" s="148"/>
      <c r="C78" s="148"/>
      <c r="D78" s="222"/>
      <c r="E78" s="223"/>
      <c r="F78" s="148"/>
      <c r="G78" s="148"/>
      <c r="H78" s="148"/>
      <c r="I78" s="148"/>
      <c r="J78" s="148"/>
      <c r="K78" s="148"/>
      <c r="L78" s="148"/>
      <c r="M78" s="148"/>
      <c r="N78" s="148"/>
      <c r="O78" s="221"/>
    </row>
    <row r="79" spans="1:21" x14ac:dyDescent="0.2">
      <c r="A79" s="148"/>
      <c r="B79" s="148"/>
      <c r="C79" s="148"/>
      <c r="D79" s="222"/>
      <c r="E79" s="223"/>
      <c r="F79" s="148"/>
      <c r="G79" s="148"/>
      <c r="H79" s="148"/>
      <c r="I79" s="148"/>
      <c r="J79" s="148"/>
      <c r="K79" s="148"/>
      <c r="L79" s="148"/>
      <c r="M79" s="148"/>
      <c r="N79" s="148"/>
      <c r="O79" s="221"/>
    </row>
  </sheetData>
  <mergeCells count="1">
    <mergeCell ref="B6:L6"/>
  </mergeCells>
  <phoneticPr fontId="13" type="noConversion"/>
  <pageMargins left="0.25" right="0.25" top="0.75" bottom="0.75" header="0.3" footer="0.3"/>
  <pageSetup scale="72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142"/>
  <sheetViews>
    <sheetView tabSelected="1" topLeftCell="A79" workbookViewId="0">
      <selection activeCell="V100" sqref="V100"/>
    </sheetView>
  </sheetViews>
  <sheetFormatPr defaultRowHeight="12.75" x14ac:dyDescent="0.2"/>
  <cols>
    <col min="5" max="5" width="10.5703125" bestFit="1" customWidth="1"/>
    <col min="11" max="11" width="8.42578125" bestFit="1" customWidth="1"/>
    <col min="12" max="12" width="6.5703125" bestFit="1" customWidth="1"/>
    <col min="13" max="13" width="9" bestFit="1" customWidth="1"/>
    <col min="14" max="14" width="3.28515625" customWidth="1"/>
    <col min="15" max="15" width="16.5703125" bestFit="1" customWidth="1"/>
    <col min="16" max="16" width="3" customWidth="1"/>
  </cols>
  <sheetData>
    <row r="1" spans="1:17" ht="38.25" x14ac:dyDescent="0.2">
      <c r="A1" s="96" t="s">
        <v>130</v>
      </c>
      <c r="B1" s="105" t="s">
        <v>119</v>
      </c>
      <c r="C1" s="106" t="s">
        <v>164</v>
      </c>
      <c r="D1" s="107" t="s">
        <v>120</v>
      </c>
      <c r="E1" s="128"/>
      <c r="F1" s="106" t="s">
        <v>149</v>
      </c>
      <c r="G1" s="106" t="s">
        <v>150</v>
      </c>
      <c r="H1" s="106" t="s">
        <v>147</v>
      </c>
      <c r="K1" s="251" t="s">
        <v>199</v>
      </c>
      <c r="L1" s="5">
        <f>1.575-SUM(D8:D12)</f>
        <v>1.4128399999999999</v>
      </c>
    </row>
    <row r="2" spans="1:17" ht="13.5" thickBot="1" x14ac:dyDescent="0.25">
      <c r="A2" s="116"/>
      <c r="B2" s="117"/>
      <c r="C2" s="118"/>
      <c r="D2" s="119" t="s">
        <v>113</v>
      </c>
      <c r="E2" s="129" t="s">
        <v>171</v>
      </c>
      <c r="F2" s="118" t="s">
        <v>126</v>
      </c>
      <c r="G2" s="118" t="s">
        <v>124</v>
      </c>
      <c r="H2" s="118" t="s">
        <v>124</v>
      </c>
    </row>
    <row r="3" spans="1:17" x14ac:dyDescent="0.2">
      <c r="A3" s="110"/>
      <c r="B3" s="111"/>
      <c r="C3" s="112"/>
      <c r="D3" s="113"/>
      <c r="E3" s="130"/>
      <c r="F3" s="112"/>
      <c r="G3" s="112"/>
      <c r="H3" s="112"/>
      <c r="K3">
        <v>1</v>
      </c>
      <c r="L3" s="250" t="s">
        <v>171</v>
      </c>
      <c r="M3">
        <v>0</v>
      </c>
      <c r="O3" t="str">
        <f>CONCATENATE(K3,"  ",L3,"  ",M3," ")</f>
        <v xml:space="preserve">1  px  0 </v>
      </c>
      <c r="Q3" t="str">
        <f>CONCATENATE(K3," ",E4," -",I4," -500 ",K3," -",K4," ")</f>
        <v xml:space="preserve">1 7 -8.4446 -500 1 -2 </v>
      </c>
    </row>
    <row r="4" spans="1:17" x14ac:dyDescent="0.2">
      <c r="A4" s="140"/>
      <c r="B4" s="101" t="s">
        <v>109</v>
      </c>
      <c r="C4" s="97">
        <f>VLOOKUP(B4,Element,2,FALSE)</f>
        <v>101</v>
      </c>
      <c r="D4" s="102">
        <v>0.64</v>
      </c>
      <c r="E4" s="241">
        <v>7</v>
      </c>
      <c r="F4" s="269"/>
      <c r="G4" s="99">
        <v>8.4445999999999994</v>
      </c>
      <c r="H4" s="254">
        <f t="shared" ref="H4:H119" si="0">VLOOKUP(B4,Element,3,FALSE)</f>
        <v>8.4445999999999994</v>
      </c>
      <c r="I4" s="5">
        <f>H4</f>
        <v>8.4445999999999994</v>
      </c>
      <c r="K4">
        <v>2</v>
      </c>
      <c r="L4" s="250" t="s">
        <v>171</v>
      </c>
      <c r="M4">
        <f>M3+(D4/10)</f>
        <v>6.4000000000000001E-2</v>
      </c>
      <c r="O4" t="str">
        <f t="shared" ref="O4:O67" si="1">CONCATENATE(K4,"  ",L4,"  ",M4," ")</f>
        <v xml:space="preserve">2  px  0.064 </v>
      </c>
      <c r="Q4" t="str">
        <f t="shared" ref="Q4:Q67" si="2">CONCATENATE(K4," ",E5," -",I5," -500 ",K4," -",K5," ")</f>
        <v xml:space="preserve">2 6 -1 -500 2 -3 </v>
      </c>
    </row>
    <row r="5" spans="1:17" x14ac:dyDescent="0.2">
      <c r="A5" s="140"/>
      <c r="B5" s="176" t="s">
        <v>127</v>
      </c>
      <c r="C5" s="177">
        <f>VLOOKUP(B5,Element,2,FALSE)</f>
        <v>102</v>
      </c>
      <c r="D5" s="178">
        <f>1.3+5.92</f>
        <v>7.22</v>
      </c>
      <c r="E5" s="242">
        <v>6</v>
      </c>
      <c r="F5" s="270"/>
      <c r="G5" s="180"/>
      <c r="H5" s="255">
        <f t="shared" si="0"/>
        <v>1</v>
      </c>
      <c r="I5" s="5">
        <f t="shared" ref="I5:I68" si="3">H5</f>
        <v>1</v>
      </c>
      <c r="K5">
        <v>3</v>
      </c>
      <c r="L5" s="250" t="s">
        <v>171</v>
      </c>
      <c r="M5">
        <f t="shared" ref="M5:M68" si="4">M4+(D5/10)</f>
        <v>0.78600000000000003</v>
      </c>
      <c r="O5" t="str">
        <f t="shared" si="1"/>
        <v xml:space="preserve">3  px  0.786 </v>
      </c>
      <c r="Q5" t="str">
        <f t="shared" si="2"/>
        <v xml:space="preserve">3 1 -2.8 -500 3 -4 </v>
      </c>
    </row>
    <row r="6" spans="1:17" x14ac:dyDescent="0.2">
      <c r="A6" s="140"/>
      <c r="B6" s="198" t="s">
        <v>172</v>
      </c>
      <c r="C6" s="199">
        <f>VLOOKUP(B6,Element,2,FALSE)</f>
        <v>107</v>
      </c>
      <c r="D6" s="187">
        <v>0.254</v>
      </c>
      <c r="E6" s="243">
        <v>1</v>
      </c>
      <c r="F6" s="252"/>
      <c r="G6" s="201">
        <v>2.8</v>
      </c>
      <c r="H6" s="256">
        <f t="shared" si="0"/>
        <v>2.8</v>
      </c>
      <c r="I6" s="5">
        <f t="shared" si="3"/>
        <v>2.8</v>
      </c>
      <c r="K6">
        <v>4</v>
      </c>
      <c r="L6" s="250" t="s">
        <v>171</v>
      </c>
      <c r="M6">
        <f t="shared" si="4"/>
        <v>0.81140000000000001</v>
      </c>
      <c r="O6" t="str">
        <f t="shared" si="1"/>
        <v xml:space="preserve">4  px  0.8114 </v>
      </c>
      <c r="Q6" t="str">
        <f t="shared" si="2"/>
        <v xml:space="preserve">4 2 -7.78843074459568 -500 4 -5 </v>
      </c>
    </row>
    <row r="7" spans="1:17" x14ac:dyDescent="0.2">
      <c r="A7" s="140"/>
      <c r="B7" s="133" t="s">
        <v>162</v>
      </c>
      <c r="C7" s="134">
        <f>VLOOKUP(B7,Element,2,FALSE)</f>
        <v>103</v>
      </c>
      <c r="D7" s="135">
        <v>0.24979999999999999</v>
      </c>
      <c r="E7" s="244">
        <v>2</v>
      </c>
      <c r="F7" s="137">
        <v>194.55500000000001</v>
      </c>
      <c r="G7" s="138"/>
      <c r="H7" s="257">
        <f t="shared" si="0"/>
        <v>7.93</v>
      </c>
      <c r="I7" s="5">
        <f>F7/(100*D7)</f>
        <v>7.7884307445956766</v>
      </c>
      <c r="K7">
        <v>5</v>
      </c>
      <c r="L7" s="250" t="s">
        <v>171</v>
      </c>
      <c r="M7">
        <f t="shared" si="4"/>
        <v>0.83638000000000001</v>
      </c>
      <c r="O7" t="str">
        <f t="shared" si="1"/>
        <v xml:space="preserve">5  px  0.83638 </v>
      </c>
      <c r="Q7" t="str">
        <f t="shared" si="2"/>
        <v xml:space="preserve">5 4 -1.42 -500 5 -6 </v>
      </c>
    </row>
    <row r="8" spans="1:17" x14ac:dyDescent="0.2">
      <c r="A8" s="140"/>
      <c r="B8" s="141" t="s">
        <v>173</v>
      </c>
      <c r="C8" s="142">
        <f>VLOOKUP(B8,Element,2,FALSE)</f>
        <v>108</v>
      </c>
      <c r="D8" s="143">
        <v>2.5399999999999999E-2</v>
      </c>
      <c r="E8" s="245">
        <v>4</v>
      </c>
      <c r="F8" s="237"/>
      <c r="G8" s="145"/>
      <c r="H8" s="258">
        <f t="shared" si="0"/>
        <v>1.42</v>
      </c>
      <c r="I8" s="5">
        <f t="shared" si="3"/>
        <v>1.42</v>
      </c>
      <c r="K8">
        <v>6</v>
      </c>
      <c r="L8" s="250" t="s">
        <v>171</v>
      </c>
      <c r="M8">
        <f t="shared" si="4"/>
        <v>0.83892</v>
      </c>
      <c r="O8" t="str">
        <f t="shared" si="1"/>
        <v xml:space="preserve">6  px  0.83892 </v>
      </c>
      <c r="Q8" t="str">
        <f t="shared" si="2"/>
        <v xml:space="preserve">6 10 -1.11 -500 6 -7 </v>
      </c>
    </row>
    <row r="9" spans="1:17" x14ac:dyDescent="0.2">
      <c r="A9" s="140"/>
      <c r="B9" s="141" t="s">
        <v>198</v>
      </c>
      <c r="C9" s="142">
        <f>VLOOKUP(B9,Element,2,FALSE)</f>
        <v>109</v>
      </c>
      <c r="D9" s="143">
        <v>4.3180000000000003E-2</v>
      </c>
      <c r="E9" s="245">
        <v>10</v>
      </c>
      <c r="F9" s="237"/>
      <c r="G9" s="145"/>
      <c r="H9" s="258">
        <f t="shared" ref="H9" si="5">VLOOKUP(B9,Element,3,FALSE)</f>
        <v>1.1100000000000001</v>
      </c>
      <c r="I9" s="5">
        <f t="shared" si="3"/>
        <v>1.1100000000000001</v>
      </c>
      <c r="K9">
        <v>7</v>
      </c>
      <c r="L9" s="250" t="s">
        <v>171</v>
      </c>
      <c r="M9">
        <f t="shared" si="4"/>
        <v>0.84323800000000004</v>
      </c>
      <c r="O9" t="str">
        <f t="shared" si="1"/>
        <v xml:space="preserve">7  px  0.843238 </v>
      </c>
      <c r="Q9" t="str">
        <f t="shared" si="2"/>
        <v xml:space="preserve">7 8 -2.6076 -500 7 -8 </v>
      </c>
    </row>
    <row r="10" spans="1:17" x14ac:dyDescent="0.2">
      <c r="A10" s="235" t="s">
        <v>180</v>
      </c>
      <c r="B10" s="158" t="s">
        <v>26</v>
      </c>
      <c r="C10" s="159">
        <v>13</v>
      </c>
      <c r="D10" s="160">
        <v>2.5000000000000001E-2</v>
      </c>
      <c r="E10" s="246">
        <v>8</v>
      </c>
      <c r="F10" s="238">
        <v>6.5190000000000001</v>
      </c>
      <c r="G10" s="162"/>
      <c r="H10" s="259">
        <f t="shared" si="0"/>
        <v>2.698</v>
      </c>
      <c r="I10" s="5">
        <f>F10/(100*D10)</f>
        <v>2.6076000000000001</v>
      </c>
      <c r="K10">
        <v>8</v>
      </c>
      <c r="L10" s="250" t="s">
        <v>171</v>
      </c>
      <c r="M10">
        <f t="shared" si="4"/>
        <v>0.84573799999999999</v>
      </c>
      <c r="O10" t="str">
        <f t="shared" si="1"/>
        <v xml:space="preserve">8  px  0.845738 </v>
      </c>
      <c r="Q10" t="str">
        <f t="shared" si="2"/>
        <v xml:space="preserve">8 10 -1.11 -500 8 -9 </v>
      </c>
    </row>
    <row r="11" spans="1:17" s="11" customFormat="1" x14ac:dyDescent="0.2">
      <c r="A11" s="264"/>
      <c r="B11" s="101" t="s">
        <v>198</v>
      </c>
      <c r="C11" s="97">
        <v>109</v>
      </c>
      <c r="D11" s="102">
        <f>$D$9</f>
        <v>4.3180000000000003E-2</v>
      </c>
      <c r="E11" s="241">
        <f>$E$9</f>
        <v>10</v>
      </c>
      <c r="F11" s="236"/>
      <c r="G11" s="99"/>
      <c r="H11" s="265">
        <f>$H$9</f>
        <v>1.1100000000000001</v>
      </c>
      <c r="I11" s="5">
        <f t="shared" si="3"/>
        <v>1.1100000000000001</v>
      </c>
      <c r="K11">
        <v>9</v>
      </c>
      <c r="L11" s="250" t="s">
        <v>171</v>
      </c>
      <c r="M11">
        <f t="shared" si="4"/>
        <v>0.85005600000000003</v>
      </c>
      <c r="O11" t="str">
        <f t="shared" si="1"/>
        <v xml:space="preserve">9  px  0.850056 </v>
      </c>
      <c r="Q11" t="str">
        <f t="shared" si="2"/>
        <v xml:space="preserve">9 4 -1.42 -500 9 -10 </v>
      </c>
    </row>
    <row r="12" spans="1:17" x14ac:dyDescent="0.2">
      <c r="A12" s="140"/>
      <c r="B12" s="141" t="s">
        <v>173</v>
      </c>
      <c r="C12" s="142">
        <f t="shared" ref="C12:E27" si="6">VLOOKUP(B12,Element,2,FALSE)</f>
        <v>108</v>
      </c>
      <c r="D12" s="143">
        <v>2.5399999999999999E-2</v>
      </c>
      <c r="E12" s="245">
        <v>4</v>
      </c>
      <c r="F12" s="237"/>
      <c r="G12" s="145"/>
      <c r="H12" s="258">
        <f t="shared" si="0"/>
        <v>1.42</v>
      </c>
      <c r="I12" s="5">
        <f t="shared" si="3"/>
        <v>1.42</v>
      </c>
      <c r="K12">
        <v>10</v>
      </c>
      <c r="L12" s="250" t="s">
        <v>171</v>
      </c>
      <c r="M12">
        <f t="shared" si="4"/>
        <v>0.85259600000000002</v>
      </c>
      <c r="O12" t="str">
        <f t="shared" si="1"/>
        <v xml:space="preserve">10  px  0.852596 </v>
      </c>
      <c r="Q12" t="str">
        <f t="shared" si="2"/>
        <v xml:space="preserve">10 3 -0.000908 -500 10 -11 </v>
      </c>
    </row>
    <row r="13" spans="1:17" x14ac:dyDescent="0.2">
      <c r="A13" s="140"/>
      <c r="B13" s="141" t="s">
        <v>166</v>
      </c>
      <c r="C13" s="142">
        <f>VLOOKUP(B13,Element,2,FALSE)</f>
        <v>106</v>
      </c>
      <c r="D13" s="143">
        <f>1.575-SUM(D8:D12)</f>
        <v>1.4128399999999999</v>
      </c>
      <c r="E13" s="245">
        <v>3</v>
      </c>
      <c r="F13" s="237"/>
      <c r="G13" s="145"/>
      <c r="H13" s="266">
        <f t="shared" ref="H13" si="7">VLOOKUP(B13,Element,3,FALSE)</f>
        <v>9.0799999999999995E-4</v>
      </c>
      <c r="I13" s="267">
        <f t="shared" si="3"/>
        <v>9.0799999999999995E-4</v>
      </c>
      <c r="K13">
        <v>11</v>
      </c>
      <c r="L13" s="250" t="s">
        <v>171</v>
      </c>
      <c r="M13">
        <f t="shared" si="4"/>
        <v>0.99387999999999999</v>
      </c>
      <c r="O13" t="str">
        <f t="shared" si="1"/>
        <v xml:space="preserve">11  px  0.99388 </v>
      </c>
      <c r="Q13" t="str">
        <f t="shared" si="2"/>
        <v xml:space="preserve">11 4 -1.42 -500 11 -12 </v>
      </c>
    </row>
    <row r="14" spans="1:17" x14ac:dyDescent="0.2">
      <c r="A14" s="140"/>
      <c r="B14" s="141" t="s">
        <v>173</v>
      </c>
      <c r="C14" s="142">
        <f t="shared" si="6"/>
        <v>108</v>
      </c>
      <c r="D14" s="143">
        <v>2.5399999999999999E-2</v>
      </c>
      <c r="E14" s="245">
        <v>4</v>
      </c>
      <c r="F14" s="237"/>
      <c r="G14" s="145"/>
      <c r="H14" s="258">
        <f>VLOOKUP(B14,Element,3,FALSE)</f>
        <v>1.42</v>
      </c>
      <c r="I14" s="5">
        <f t="shared" si="3"/>
        <v>1.42</v>
      </c>
      <c r="K14">
        <v>12</v>
      </c>
      <c r="L14" s="250" t="s">
        <v>171</v>
      </c>
      <c r="M14">
        <f t="shared" si="4"/>
        <v>0.99641999999999997</v>
      </c>
      <c r="O14" t="str">
        <f t="shared" si="1"/>
        <v xml:space="preserve">12  px  0.99642 </v>
      </c>
      <c r="Q14" t="str">
        <f t="shared" si="2"/>
        <v xml:space="preserve">12 10 -1.11 -500 12 -13 </v>
      </c>
    </row>
    <row r="15" spans="1:17" x14ac:dyDescent="0.2">
      <c r="A15" s="140"/>
      <c r="B15" s="101" t="s">
        <v>198</v>
      </c>
      <c r="C15" s="97">
        <v>109</v>
      </c>
      <c r="D15" s="102">
        <f>$D$9</f>
        <v>4.3180000000000003E-2</v>
      </c>
      <c r="E15" s="241">
        <f>$E$9</f>
        <v>10</v>
      </c>
      <c r="F15" s="236"/>
      <c r="G15" s="99"/>
      <c r="H15" s="265">
        <f>$H$9</f>
        <v>1.1100000000000001</v>
      </c>
      <c r="I15" s="5">
        <f t="shared" si="3"/>
        <v>1.1100000000000001</v>
      </c>
      <c r="K15">
        <v>13</v>
      </c>
      <c r="L15" s="250" t="s">
        <v>171</v>
      </c>
      <c r="M15">
        <f t="shared" si="4"/>
        <v>1.0007379999999999</v>
      </c>
      <c r="O15" t="str">
        <f t="shared" si="1"/>
        <v xml:space="preserve">13  px  1.000738 </v>
      </c>
      <c r="Q15" t="str">
        <f t="shared" si="2"/>
        <v xml:space="preserve">13 9 -8.76606851549755 -500 13 -14 </v>
      </c>
    </row>
    <row r="16" spans="1:17" x14ac:dyDescent="0.2">
      <c r="A16" s="235" t="s">
        <v>183</v>
      </c>
      <c r="B16" s="214" t="s">
        <v>42</v>
      </c>
      <c r="C16" s="215">
        <f t="shared" si="6"/>
        <v>29</v>
      </c>
      <c r="D16" s="216">
        <v>6.13E-2</v>
      </c>
      <c r="E16" s="247">
        <v>9</v>
      </c>
      <c r="F16" s="239">
        <v>53.735999999999997</v>
      </c>
      <c r="G16" s="217"/>
      <c r="H16" s="260">
        <f>VLOOKUP(B16,Element,3,FALSE)</f>
        <v>8.9489999999999998</v>
      </c>
      <c r="I16" s="5">
        <f>F16/(100*D16)</f>
        <v>8.7660685154975528</v>
      </c>
      <c r="K16">
        <v>14</v>
      </c>
      <c r="L16" s="250" t="s">
        <v>171</v>
      </c>
      <c r="M16">
        <f t="shared" si="4"/>
        <v>1.0068679999999999</v>
      </c>
      <c r="O16" t="str">
        <f t="shared" si="1"/>
        <v xml:space="preserve">14  px  1.006868 </v>
      </c>
      <c r="Q16" t="str">
        <f t="shared" si="2"/>
        <v xml:space="preserve">14 10 -1.11 -500 14 -15 </v>
      </c>
    </row>
    <row r="17" spans="1:17" s="11" customFormat="1" x14ac:dyDescent="0.2">
      <c r="A17" s="264"/>
      <c r="B17" s="101" t="s">
        <v>198</v>
      </c>
      <c r="C17" s="97">
        <v>109</v>
      </c>
      <c r="D17" s="102">
        <f>$D$9</f>
        <v>4.3180000000000003E-2</v>
      </c>
      <c r="E17" s="241">
        <f>$E$9</f>
        <v>10</v>
      </c>
      <c r="F17" s="236"/>
      <c r="G17" s="99"/>
      <c r="H17" s="265">
        <f>$H$9</f>
        <v>1.1100000000000001</v>
      </c>
      <c r="I17" s="5">
        <f t="shared" si="3"/>
        <v>1.1100000000000001</v>
      </c>
      <c r="K17">
        <v>15</v>
      </c>
      <c r="L17" s="250" t="s">
        <v>171</v>
      </c>
      <c r="M17">
        <f t="shared" si="4"/>
        <v>1.0111859999999999</v>
      </c>
      <c r="O17" t="str">
        <f t="shared" si="1"/>
        <v xml:space="preserve">15  px  1.011186 </v>
      </c>
      <c r="Q17" t="str">
        <f t="shared" si="2"/>
        <v xml:space="preserve">15 4 -1.42 -500 15 -16 </v>
      </c>
    </row>
    <row r="18" spans="1:17" x14ac:dyDescent="0.2">
      <c r="A18" s="140"/>
      <c r="B18" s="141" t="s">
        <v>173</v>
      </c>
      <c r="C18" s="142">
        <f t="shared" si="6"/>
        <v>108</v>
      </c>
      <c r="D18" s="143">
        <v>2.5399999999999999E-2</v>
      </c>
      <c r="E18" s="245">
        <v>4</v>
      </c>
      <c r="F18" s="237"/>
      <c r="G18" s="145"/>
      <c r="H18" s="258">
        <f>VLOOKUP(B18,Element,3,FALSE)</f>
        <v>1.42</v>
      </c>
      <c r="I18" s="5">
        <f t="shared" si="3"/>
        <v>1.42</v>
      </c>
      <c r="K18">
        <v>16</v>
      </c>
      <c r="L18" s="250" t="s">
        <v>171</v>
      </c>
      <c r="M18">
        <f t="shared" si="4"/>
        <v>1.0137259999999999</v>
      </c>
      <c r="O18" t="str">
        <f t="shared" si="1"/>
        <v xml:space="preserve">16  px  1.013726 </v>
      </c>
      <c r="Q18" t="str">
        <f t="shared" si="2"/>
        <v xml:space="preserve">16 3 -0.000908 -500 16 -17 </v>
      </c>
    </row>
    <row r="19" spans="1:17" x14ac:dyDescent="0.2">
      <c r="A19" s="140"/>
      <c r="B19" s="141" t="s">
        <v>166</v>
      </c>
      <c r="C19" s="142">
        <f>$C$13</f>
        <v>106</v>
      </c>
      <c r="D19" s="143">
        <f>1.575-SUM(D14:D18)</f>
        <v>1.3765399999999999</v>
      </c>
      <c r="E19" s="245">
        <f>$E$13</f>
        <v>3</v>
      </c>
      <c r="F19" s="237"/>
      <c r="G19" s="145"/>
      <c r="H19" s="266">
        <f>$H$13</f>
        <v>9.0799999999999995E-4</v>
      </c>
      <c r="I19" s="267">
        <f>$I$13</f>
        <v>9.0799999999999995E-4</v>
      </c>
      <c r="K19">
        <v>17</v>
      </c>
      <c r="L19" s="250" t="s">
        <v>171</v>
      </c>
      <c r="M19">
        <f t="shared" si="4"/>
        <v>1.1513799999999998</v>
      </c>
      <c r="O19" t="str">
        <f t="shared" si="1"/>
        <v xml:space="preserve">17  px  1.15138 </v>
      </c>
      <c r="Q19" t="str">
        <f t="shared" si="2"/>
        <v xml:space="preserve">17 4 -1.42 -500 17 -18 </v>
      </c>
    </row>
    <row r="20" spans="1:17" x14ac:dyDescent="0.2">
      <c r="A20" s="140"/>
      <c r="B20" s="141" t="s">
        <v>173</v>
      </c>
      <c r="C20" s="142">
        <f t="shared" si="6"/>
        <v>108</v>
      </c>
      <c r="D20" s="143">
        <v>2.5399999999999999E-2</v>
      </c>
      <c r="E20" s="245">
        <v>4</v>
      </c>
      <c r="F20" s="237"/>
      <c r="G20" s="145"/>
      <c r="H20" s="258">
        <f t="shared" si="0"/>
        <v>1.42</v>
      </c>
      <c r="I20" s="5">
        <f t="shared" si="3"/>
        <v>1.42</v>
      </c>
      <c r="K20">
        <v>18</v>
      </c>
      <c r="L20" s="250" t="s">
        <v>171</v>
      </c>
      <c r="M20">
        <f t="shared" si="4"/>
        <v>1.1539199999999998</v>
      </c>
      <c r="O20" t="str">
        <f t="shared" si="1"/>
        <v xml:space="preserve">18  px  1.15392 </v>
      </c>
      <c r="Q20" t="str">
        <f t="shared" si="2"/>
        <v xml:space="preserve">18 10 -1.11 -500 18 -19 </v>
      </c>
    </row>
    <row r="21" spans="1:17" x14ac:dyDescent="0.2">
      <c r="A21" s="140"/>
      <c r="B21" s="101" t="s">
        <v>198</v>
      </c>
      <c r="C21" s="97">
        <v>109</v>
      </c>
      <c r="D21" s="102">
        <f>$D$9</f>
        <v>4.3180000000000003E-2</v>
      </c>
      <c r="E21" s="241">
        <f>$E$9</f>
        <v>10</v>
      </c>
      <c r="F21" s="236"/>
      <c r="G21" s="99"/>
      <c r="H21" s="265">
        <f>$H$9</f>
        <v>1.1100000000000001</v>
      </c>
      <c r="I21" s="5">
        <f t="shared" si="3"/>
        <v>1.1100000000000001</v>
      </c>
      <c r="K21">
        <v>19</v>
      </c>
      <c r="L21" s="250" t="s">
        <v>171</v>
      </c>
      <c r="M21">
        <f t="shared" si="4"/>
        <v>1.1582379999999999</v>
      </c>
      <c r="O21" t="str">
        <f t="shared" si="1"/>
        <v xml:space="preserve">19  px  1.158238 </v>
      </c>
      <c r="Q21" t="str">
        <f t="shared" si="2"/>
        <v xml:space="preserve">19 5 -7.735 -500 19 -20 </v>
      </c>
    </row>
    <row r="22" spans="1:17" x14ac:dyDescent="0.2">
      <c r="A22" s="235" t="s">
        <v>184</v>
      </c>
      <c r="B22" s="164" t="s">
        <v>55</v>
      </c>
      <c r="C22" s="165">
        <f t="shared" si="6"/>
        <v>41</v>
      </c>
      <c r="D22" s="166">
        <v>0.03</v>
      </c>
      <c r="E22" s="248">
        <v>5</v>
      </c>
      <c r="F22" s="240">
        <v>23.204999999999998</v>
      </c>
      <c r="G22" s="167"/>
      <c r="H22" s="261">
        <f t="shared" si="0"/>
        <v>8.6020000000000003</v>
      </c>
      <c r="I22" s="5">
        <f>F22/(100*D22)</f>
        <v>7.7349999999999994</v>
      </c>
      <c r="K22">
        <v>20</v>
      </c>
      <c r="L22" s="250" t="s">
        <v>171</v>
      </c>
      <c r="M22">
        <f t="shared" si="4"/>
        <v>1.1612379999999998</v>
      </c>
      <c r="O22" t="str">
        <f t="shared" si="1"/>
        <v xml:space="preserve">20  px  1.161238 </v>
      </c>
      <c r="Q22" t="str">
        <f t="shared" si="2"/>
        <v xml:space="preserve">20 10 -1.11 -500 20 -21 </v>
      </c>
    </row>
    <row r="23" spans="1:17" s="11" customFormat="1" x14ac:dyDescent="0.2">
      <c r="A23" s="264"/>
      <c r="B23" s="101" t="s">
        <v>198</v>
      </c>
      <c r="C23" s="97">
        <v>109</v>
      </c>
      <c r="D23" s="102">
        <f>$D$9</f>
        <v>4.3180000000000003E-2</v>
      </c>
      <c r="E23" s="241">
        <f>$E$9</f>
        <v>10</v>
      </c>
      <c r="F23" s="236"/>
      <c r="G23" s="99"/>
      <c r="H23" s="265">
        <f>$H$9</f>
        <v>1.1100000000000001</v>
      </c>
      <c r="I23" s="5">
        <f t="shared" si="3"/>
        <v>1.1100000000000001</v>
      </c>
      <c r="K23">
        <v>21</v>
      </c>
      <c r="L23" s="250" t="s">
        <v>171</v>
      </c>
      <c r="M23">
        <f t="shared" si="4"/>
        <v>1.1655559999999998</v>
      </c>
      <c r="O23" t="str">
        <f t="shared" si="1"/>
        <v xml:space="preserve">21  px  1.165556 </v>
      </c>
      <c r="Q23" t="str">
        <f t="shared" si="2"/>
        <v xml:space="preserve">21 4 -1.42 -500 21 -22 </v>
      </c>
    </row>
    <row r="24" spans="1:17" x14ac:dyDescent="0.2">
      <c r="A24" s="140"/>
      <c r="B24" s="141" t="s">
        <v>173</v>
      </c>
      <c r="C24" s="142">
        <f t="shared" si="6"/>
        <v>108</v>
      </c>
      <c r="D24" s="143">
        <v>2.5399999999999999E-2</v>
      </c>
      <c r="E24" s="245">
        <v>4</v>
      </c>
      <c r="F24" s="237"/>
      <c r="G24" s="145"/>
      <c r="H24" s="258">
        <f t="shared" si="0"/>
        <v>1.42</v>
      </c>
      <c r="I24" s="5">
        <f t="shared" si="3"/>
        <v>1.42</v>
      </c>
      <c r="K24">
        <v>22</v>
      </c>
      <c r="L24" s="250" t="s">
        <v>171</v>
      </c>
      <c r="M24">
        <f t="shared" si="4"/>
        <v>1.1680959999999998</v>
      </c>
      <c r="O24" t="str">
        <f t="shared" si="1"/>
        <v xml:space="preserve">22  px  1.168096 </v>
      </c>
      <c r="Q24" t="str">
        <f t="shared" si="2"/>
        <v xml:space="preserve">22 3 -0.000908 -500 22 -23 </v>
      </c>
    </row>
    <row r="25" spans="1:17" x14ac:dyDescent="0.2">
      <c r="A25" s="140"/>
      <c r="B25" s="141" t="s">
        <v>166</v>
      </c>
      <c r="C25" s="142">
        <f>$C$13</f>
        <v>106</v>
      </c>
      <c r="D25" s="143">
        <f>1.575-SUM(D20:D24)</f>
        <v>1.40784</v>
      </c>
      <c r="E25" s="245">
        <f>$E$13</f>
        <v>3</v>
      </c>
      <c r="F25" s="237"/>
      <c r="G25" s="145"/>
      <c r="H25" s="266">
        <f>$H$13</f>
        <v>9.0799999999999995E-4</v>
      </c>
      <c r="I25" s="267">
        <f>$I$13</f>
        <v>9.0799999999999995E-4</v>
      </c>
      <c r="K25">
        <v>23</v>
      </c>
      <c r="L25" s="250" t="s">
        <v>171</v>
      </c>
      <c r="M25">
        <f t="shared" si="4"/>
        <v>1.3088799999999998</v>
      </c>
      <c r="O25" t="str">
        <f t="shared" si="1"/>
        <v xml:space="preserve">23  px  1.30888 </v>
      </c>
      <c r="Q25" t="str">
        <f t="shared" si="2"/>
        <v xml:space="preserve">23 1 -2.8 -500 23 -24 </v>
      </c>
    </row>
    <row r="26" spans="1:17" x14ac:dyDescent="0.2">
      <c r="A26" s="140"/>
      <c r="B26" s="170" t="s">
        <v>172</v>
      </c>
      <c r="C26" s="171">
        <f t="shared" si="6"/>
        <v>107</v>
      </c>
      <c r="D26" s="172">
        <v>4.96</v>
      </c>
      <c r="E26" s="243">
        <v>1</v>
      </c>
      <c r="F26" s="271"/>
      <c r="G26" s="174"/>
      <c r="H26" s="262">
        <f t="shared" si="0"/>
        <v>2.8</v>
      </c>
      <c r="I26" s="5">
        <f t="shared" si="3"/>
        <v>2.8</v>
      </c>
      <c r="K26">
        <v>24</v>
      </c>
      <c r="L26" s="250" t="s">
        <v>171</v>
      </c>
      <c r="M26">
        <f t="shared" si="4"/>
        <v>1.8048799999999998</v>
      </c>
      <c r="O26" t="str">
        <f t="shared" si="1"/>
        <v xml:space="preserve">24  px  1.80488 </v>
      </c>
      <c r="Q26" t="str">
        <f t="shared" si="2"/>
        <v xml:space="preserve">24 4 -1.42 -500 24 -25 </v>
      </c>
    </row>
    <row r="27" spans="1:17" x14ac:dyDescent="0.2">
      <c r="A27" s="140"/>
      <c r="B27" s="141" t="s">
        <v>173</v>
      </c>
      <c r="C27" s="142">
        <f t="shared" si="6"/>
        <v>108</v>
      </c>
      <c r="D27" s="143">
        <v>2.5399999999999999E-2</v>
      </c>
      <c r="E27" s="245">
        <v>4</v>
      </c>
      <c r="F27" s="237"/>
      <c r="G27" s="145"/>
      <c r="H27" s="258">
        <f t="shared" si="0"/>
        <v>1.42</v>
      </c>
      <c r="I27" s="5">
        <f t="shared" si="3"/>
        <v>1.42</v>
      </c>
      <c r="K27">
        <v>25</v>
      </c>
      <c r="L27" s="250" t="s">
        <v>171</v>
      </c>
      <c r="M27">
        <f t="shared" si="4"/>
        <v>1.8074199999999998</v>
      </c>
      <c r="O27" t="str">
        <f t="shared" si="1"/>
        <v xml:space="preserve">25  px  1.80742 </v>
      </c>
      <c r="Q27" t="str">
        <f t="shared" si="2"/>
        <v xml:space="preserve">25 10 -1.11 -500 25 -26 </v>
      </c>
    </row>
    <row r="28" spans="1:17" x14ac:dyDescent="0.2">
      <c r="A28" s="140"/>
      <c r="B28" s="101" t="s">
        <v>198</v>
      </c>
      <c r="C28" s="97">
        <v>109</v>
      </c>
      <c r="D28" s="102">
        <f>$D$9</f>
        <v>4.3180000000000003E-2</v>
      </c>
      <c r="E28" s="241">
        <f>$E$9</f>
        <v>10</v>
      </c>
      <c r="F28" s="236"/>
      <c r="G28" s="99"/>
      <c r="H28" s="265">
        <f>$H$9</f>
        <v>1.1100000000000001</v>
      </c>
      <c r="I28" s="5">
        <f t="shared" si="3"/>
        <v>1.1100000000000001</v>
      </c>
      <c r="K28">
        <v>26</v>
      </c>
      <c r="L28" s="250" t="s">
        <v>171</v>
      </c>
      <c r="M28">
        <f t="shared" si="4"/>
        <v>1.8117379999999998</v>
      </c>
      <c r="O28" t="str">
        <f t="shared" si="1"/>
        <v xml:space="preserve">26  px  1.811738 </v>
      </c>
      <c r="Q28" t="str">
        <f t="shared" si="2"/>
        <v xml:space="preserve">26 8 -2.54274509803922 -500 26 -27 </v>
      </c>
    </row>
    <row r="29" spans="1:17" x14ac:dyDescent="0.2">
      <c r="A29" s="235" t="s">
        <v>190</v>
      </c>
      <c r="B29" s="158" t="s">
        <v>26</v>
      </c>
      <c r="C29" s="159">
        <v>13</v>
      </c>
      <c r="D29" s="160">
        <v>2.5499999999999998E-2</v>
      </c>
      <c r="E29" s="246">
        <v>8</v>
      </c>
      <c r="F29" s="238">
        <v>6.484</v>
      </c>
      <c r="G29" s="162"/>
      <c r="H29" s="259">
        <f t="shared" si="0"/>
        <v>2.698</v>
      </c>
      <c r="I29" s="5">
        <f>F29/(100*D29)</f>
        <v>2.5427450980392159</v>
      </c>
      <c r="K29">
        <v>27</v>
      </c>
      <c r="L29" s="250" t="s">
        <v>171</v>
      </c>
      <c r="M29">
        <f t="shared" si="4"/>
        <v>1.8142879999999999</v>
      </c>
      <c r="O29" t="str">
        <f t="shared" si="1"/>
        <v xml:space="preserve">27  px  1.814288 </v>
      </c>
      <c r="Q29" t="str">
        <f t="shared" si="2"/>
        <v xml:space="preserve">27 10 -1.11 -500 27 -28 </v>
      </c>
    </row>
    <row r="30" spans="1:17" s="11" customFormat="1" x14ac:dyDescent="0.2">
      <c r="A30" s="264"/>
      <c r="B30" s="101" t="s">
        <v>198</v>
      </c>
      <c r="C30" s="97">
        <v>109</v>
      </c>
      <c r="D30" s="102">
        <f>$D$9</f>
        <v>4.3180000000000003E-2</v>
      </c>
      <c r="E30" s="241">
        <f>$E$9</f>
        <v>10</v>
      </c>
      <c r="F30" s="236"/>
      <c r="G30" s="99"/>
      <c r="H30" s="265">
        <f>$H$9</f>
        <v>1.1100000000000001</v>
      </c>
      <c r="I30" s="5">
        <f t="shared" si="3"/>
        <v>1.1100000000000001</v>
      </c>
      <c r="K30">
        <v>28</v>
      </c>
      <c r="L30" s="250" t="s">
        <v>171</v>
      </c>
      <c r="M30">
        <f t="shared" si="4"/>
        <v>1.8186059999999999</v>
      </c>
      <c r="O30" t="str">
        <f t="shared" si="1"/>
        <v xml:space="preserve">28  px  1.818606 </v>
      </c>
      <c r="Q30" t="str">
        <f t="shared" si="2"/>
        <v xml:space="preserve">28 4 -1.42 -500 28 -29 </v>
      </c>
    </row>
    <row r="31" spans="1:17" x14ac:dyDescent="0.2">
      <c r="A31" s="140"/>
      <c r="B31" s="141" t="s">
        <v>173</v>
      </c>
      <c r="C31" s="142">
        <f t="shared" ref="C31:E46" si="8">VLOOKUP(B31,Element,2,FALSE)</f>
        <v>108</v>
      </c>
      <c r="D31" s="143">
        <v>2.5399999999999999E-2</v>
      </c>
      <c r="E31" s="245">
        <v>4</v>
      </c>
      <c r="F31" s="237"/>
      <c r="G31" s="145"/>
      <c r="H31" s="258">
        <f t="shared" si="0"/>
        <v>1.42</v>
      </c>
      <c r="I31" s="5">
        <f t="shared" si="3"/>
        <v>1.42</v>
      </c>
      <c r="K31">
        <v>29</v>
      </c>
      <c r="L31" s="250" t="s">
        <v>171</v>
      </c>
      <c r="M31">
        <f t="shared" si="4"/>
        <v>1.8211459999999999</v>
      </c>
      <c r="O31" t="str">
        <f t="shared" si="1"/>
        <v xml:space="preserve">29  px  1.821146 </v>
      </c>
      <c r="Q31" t="str">
        <f t="shared" si="2"/>
        <v xml:space="preserve">29 3 -0.000908 -500 29 -30 </v>
      </c>
    </row>
    <row r="32" spans="1:17" x14ac:dyDescent="0.2">
      <c r="A32" s="140"/>
      <c r="B32" s="141" t="s">
        <v>166</v>
      </c>
      <c r="C32" s="142">
        <f>$C$13</f>
        <v>106</v>
      </c>
      <c r="D32" s="143">
        <f>1.575-SUM(D27:D31)</f>
        <v>1.4123399999999999</v>
      </c>
      <c r="E32" s="245">
        <f>$E$13</f>
        <v>3</v>
      </c>
      <c r="F32" s="237"/>
      <c r="G32" s="145"/>
      <c r="H32" s="266">
        <f>$H$13</f>
        <v>9.0799999999999995E-4</v>
      </c>
      <c r="I32" s="267">
        <f>$I$13</f>
        <v>9.0799999999999995E-4</v>
      </c>
      <c r="K32">
        <v>30</v>
      </c>
      <c r="L32" s="250" t="s">
        <v>171</v>
      </c>
      <c r="M32">
        <f t="shared" si="4"/>
        <v>1.96238</v>
      </c>
      <c r="O32" t="str">
        <f t="shared" si="1"/>
        <v xml:space="preserve">30  px  1.96238 </v>
      </c>
      <c r="Q32" t="str">
        <f t="shared" si="2"/>
        <v xml:space="preserve">30 4 -1.42 -500 30 -31 </v>
      </c>
    </row>
    <row r="33" spans="1:17" x14ac:dyDescent="0.2">
      <c r="A33" s="140"/>
      <c r="B33" s="141" t="s">
        <v>173</v>
      </c>
      <c r="C33" s="142">
        <f>VLOOKUP(B33,Element,2,FALSE)</f>
        <v>108</v>
      </c>
      <c r="D33" s="143">
        <v>2.5399999999999999E-2</v>
      </c>
      <c r="E33" s="245">
        <v>4</v>
      </c>
      <c r="F33" s="237"/>
      <c r="G33" s="145"/>
      <c r="H33" s="258">
        <f t="shared" si="0"/>
        <v>1.42</v>
      </c>
      <c r="I33" s="5">
        <f t="shared" si="3"/>
        <v>1.42</v>
      </c>
      <c r="K33">
        <v>31</v>
      </c>
      <c r="L33" s="250" t="s">
        <v>171</v>
      </c>
      <c r="M33">
        <f t="shared" si="4"/>
        <v>1.96492</v>
      </c>
      <c r="O33" t="str">
        <f t="shared" si="1"/>
        <v xml:space="preserve">31  px  1.96492 </v>
      </c>
      <c r="Q33" t="str">
        <f t="shared" si="2"/>
        <v xml:space="preserve">31 10 -1.11 -500 31 -32 </v>
      </c>
    </row>
    <row r="34" spans="1:17" x14ac:dyDescent="0.2">
      <c r="A34" s="140"/>
      <c r="B34" s="101" t="s">
        <v>198</v>
      </c>
      <c r="C34" s="97">
        <v>109</v>
      </c>
      <c r="D34" s="102">
        <f>$D$9</f>
        <v>4.3180000000000003E-2</v>
      </c>
      <c r="E34" s="241">
        <f>$E$9</f>
        <v>10</v>
      </c>
      <c r="F34" s="236"/>
      <c r="G34" s="99"/>
      <c r="H34" s="265">
        <f>$H$9</f>
        <v>1.1100000000000001</v>
      </c>
      <c r="I34" s="5">
        <f t="shared" si="3"/>
        <v>1.1100000000000001</v>
      </c>
      <c r="K34">
        <v>32</v>
      </c>
      <c r="L34" s="250" t="s">
        <v>171</v>
      </c>
      <c r="M34">
        <f t="shared" si="4"/>
        <v>1.969238</v>
      </c>
      <c r="O34" t="str">
        <f t="shared" si="1"/>
        <v xml:space="preserve">32  px  1.969238 </v>
      </c>
      <c r="Q34" t="str">
        <f t="shared" si="2"/>
        <v xml:space="preserve">32 9 -8.71343042071197 -500 32 -33 </v>
      </c>
    </row>
    <row r="35" spans="1:17" x14ac:dyDescent="0.2">
      <c r="A35" s="235" t="s">
        <v>181</v>
      </c>
      <c r="B35" s="214" t="s">
        <v>42</v>
      </c>
      <c r="C35" s="215">
        <f>VLOOKUP(B35,Element,2,FALSE)</f>
        <v>29</v>
      </c>
      <c r="D35" s="216">
        <v>6.1800000000000001E-2</v>
      </c>
      <c r="E35" s="247">
        <v>9</v>
      </c>
      <c r="F35" s="239">
        <v>53.848999999999997</v>
      </c>
      <c r="G35" s="217"/>
      <c r="H35" s="260">
        <f t="shared" si="0"/>
        <v>8.9489999999999998</v>
      </c>
      <c r="I35" s="5">
        <f>F35/(100*D35)</f>
        <v>8.7134304207119744</v>
      </c>
      <c r="K35">
        <v>33</v>
      </c>
      <c r="L35" s="250" t="s">
        <v>171</v>
      </c>
      <c r="M35">
        <f t="shared" si="4"/>
        <v>1.9754180000000001</v>
      </c>
      <c r="O35" t="str">
        <f t="shared" si="1"/>
        <v xml:space="preserve">33  px  1.975418 </v>
      </c>
      <c r="Q35" t="str">
        <f t="shared" si="2"/>
        <v xml:space="preserve">33 10 -1.11 -500 33 -34 </v>
      </c>
    </row>
    <row r="36" spans="1:17" s="11" customFormat="1" x14ac:dyDescent="0.2">
      <c r="A36" s="264"/>
      <c r="B36" s="101" t="s">
        <v>198</v>
      </c>
      <c r="C36" s="97">
        <v>109</v>
      </c>
      <c r="D36" s="102">
        <f>$D$9</f>
        <v>4.3180000000000003E-2</v>
      </c>
      <c r="E36" s="241">
        <f>$E$9</f>
        <v>10</v>
      </c>
      <c r="F36" s="236"/>
      <c r="G36" s="99"/>
      <c r="H36" s="265">
        <f>$H$9</f>
        <v>1.1100000000000001</v>
      </c>
      <c r="I36" s="5">
        <f t="shared" si="3"/>
        <v>1.1100000000000001</v>
      </c>
      <c r="K36">
        <v>34</v>
      </c>
      <c r="L36" s="250" t="s">
        <v>171</v>
      </c>
      <c r="M36">
        <f t="shared" si="4"/>
        <v>1.9797360000000002</v>
      </c>
      <c r="O36" t="str">
        <f t="shared" si="1"/>
        <v xml:space="preserve">34  px  1.979736 </v>
      </c>
      <c r="Q36" t="str">
        <f t="shared" si="2"/>
        <v xml:space="preserve">34 4 -1.42 -500 34 -35 </v>
      </c>
    </row>
    <row r="37" spans="1:17" x14ac:dyDescent="0.2">
      <c r="A37" s="140"/>
      <c r="B37" s="141" t="s">
        <v>173</v>
      </c>
      <c r="C37" s="142">
        <f>VLOOKUP(B37,Element,2,FALSE)</f>
        <v>108</v>
      </c>
      <c r="D37" s="143">
        <v>2.5399999999999999E-2</v>
      </c>
      <c r="E37" s="245">
        <v>4</v>
      </c>
      <c r="F37" s="237"/>
      <c r="G37" s="145"/>
      <c r="H37" s="258">
        <f t="shared" si="0"/>
        <v>1.42</v>
      </c>
      <c r="I37" s="5">
        <f t="shared" si="3"/>
        <v>1.42</v>
      </c>
      <c r="K37">
        <v>35</v>
      </c>
      <c r="L37" s="250" t="s">
        <v>171</v>
      </c>
      <c r="M37">
        <f t="shared" si="4"/>
        <v>1.9822760000000001</v>
      </c>
      <c r="O37" t="str">
        <f t="shared" si="1"/>
        <v xml:space="preserve">35  px  1.982276 </v>
      </c>
      <c r="Q37" t="str">
        <f t="shared" si="2"/>
        <v xml:space="preserve">35 3 -0.000908 -500 35 -36 </v>
      </c>
    </row>
    <row r="38" spans="1:17" x14ac:dyDescent="0.2">
      <c r="A38" s="140"/>
      <c r="B38" s="141" t="s">
        <v>166</v>
      </c>
      <c r="C38" s="142">
        <f>$C$13</f>
        <v>106</v>
      </c>
      <c r="D38" s="143">
        <f>1.575-SUM(D33:D37)</f>
        <v>1.3760399999999999</v>
      </c>
      <c r="E38" s="245">
        <f>$E$13</f>
        <v>3</v>
      </c>
      <c r="F38" s="237"/>
      <c r="G38" s="145"/>
      <c r="H38" s="266">
        <f>$H$13</f>
        <v>9.0799999999999995E-4</v>
      </c>
      <c r="I38" s="267">
        <f>$I$13</f>
        <v>9.0799999999999995E-4</v>
      </c>
      <c r="K38">
        <v>36</v>
      </c>
      <c r="L38" s="250" t="s">
        <v>171</v>
      </c>
      <c r="M38">
        <f t="shared" si="4"/>
        <v>2.1198800000000002</v>
      </c>
      <c r="O38" t="str">
        <f t="shared" si="1"/>
        <v xml:space="preserve">36  px  2.11988 </v>
      </c>
      <c r="Q38" t="str">
        <f t="shared" si="2"/>
        <v xml:space="preserve">36 4 -1.42 -500 36 -37 </v>
      </c>
    </row>
    <row r="39" spans="1:17" x14ac:dyDescent="0.2">
      <c r="A39" s="140"/>
      <c r="B39" s="141" t="s">
        <v>173</v>
      </c>
      <c r="C39" s="142">
        <f t="shared" si="8"/>
        <v>108</v>
      </c>
      <c r="D39" s="143">
        <v>2.5399999999999999E-2</v>
      </c>
      <c r="E39" s="245">
        <v>4</v>
      </c>
      <c r="F39" s="237"/>
      <c r="G39" s="145"/>
      <c r="H39" s="258">
        <f t="shared" si="0"/>
        <v>1.42</v>
      </c>
      <c r="I39" s="5">
        <f t="shared" si="3"/>
        <v>1.42</v>
      </c>
      <c r="K39">
        <v>37</v>
      </c>
      <c r="L39" s="250" t="s">
        <v>171</v>
      </c>
      <c r="M39">
        <f t="shared" si="4"/>
        <v>2.1224200000000004</v>
      </c>
      <c r="O39" t="str">
        <f t="shared" si="1"/>
        <v xml:space="preserve">37  px  2.12242 </v>
      </c>
      <c r="Q39" t="str">
        <f t="shared" si="2"/>
        <v xml:space="preserve">37 10 -1.11 -500 37 -38 </v>
      </c>
    </row>
    <row r="40" spans="1:17" x14ac:dyDescent="0.2">
      <c r="A40" s="140"/>
      <c r="B40" s="101" t="s">
        <v>198</v>
      </c>
      <c r="C40" s="97">
        <v>109</v>
      </c>
      <c r="D40" s="102">
        <f>$D$9</f>
        <v>4.3180000000000003E-2</v>
      </c>
      <c r="E40" s="241">
        <f>$E$9</f>
        <v>10</v>
      </c>
      <c r="F40" s="236"/>
      <c r="G40" s="99"/>
      <c r="H40" s="265">
        <f>$H$9</f>
        <v>1.1100000000000001</v>
      </c>
      <c r="I40" s="5">
        <f t="shared" si="3"/>
        <v>1.1100000000000001</v>
      </c>
      <c r="K40">
        <v>38</v>
      </c>
      <c r="L40" s="250" t="s">
        <v>171</v>
      </c>
      <c r="M40">
        <f t="shared" si="4"/>
        <v>2.1267380000000005</v>
      </c>
      <c r="O40" t="str">
        <f t="shared" si="1"/>
        <v xml:space="preserve">38  px  2.126738 </v>
      </c>
      <c r="Q40" t="str">
        <f t="shared" si="2"/>
        <v xml:space="preserve">38 5 -7.43668831168831 -500 38 -39 </v>
      </c>
    </row>
    <row r="41" spans="1:17" x14ac:dyDescent="0.2">
      <c r="A41" s="235" t="s">
        <v>188</v>
      </c>
      <c r="B41" s="164" t="s">
        <v>55</v>
      </c>
      <c r="C41" s="165">
        <f t="shared" si="8"/>
        <v>41</v>
      </c>
      <c r="D41" s="166">
        <v>3.0800000000000001E-2</v>
      </c>
      <c r="E41" s="248">
        <v>5</v>
      </c>
      <c r="F41" s="240">
        <v>22.905000000000001</v>
      </c>
      <c r="G41" s="167"/>
      <c r="H41" s="261">
        <f t="shared" si="0"/>
        <v>8.6020000000000003</v>
      </c>
      <c r="I41" s="5">
        <f>F41/(100*D41)</f>
        <v>7.4366883116883118</v>
      </c>
      <c r="K41">
        <v>39</v>
      </c>
      <c r="L41" s="250" t="s">
        <v>171</v>
      </c>
      <c r="M41">
        <f t="shared" si="4"/>
        <v>2.1298180000000007</v>
      </c>
      <c r="O41" t="str">
        <f t="shared" si="1"/>
        <v xml:space="preserve">39  px  2.129818 </v>
      </c>
      <c r="Q41" t="str">
        <f t="shared" si="2"/>
        <v xml:space="preserve">39 10 -1.11 -500 39 -40 </v>
      </c>
    </row>
    <row r="42" spans="1:17" s="11" customFormat="1" x14ac:dyDescent="0.2">
      <c r="A42" s="264"/>
      <c r="B42" s="101" t="s">
        <v>198</v>
      </c>
      <c r="C42" s="97">
        <v>109</v>
      </c>
      <c r="D42" s="102">
        <f>$D$9</f>
        <v>4.3180000000000003E-2</v>
      </c>
      <c r="E42" s="241">
        <f>$E$9</f>
        <v>10</v>
      </c>
      <c r="F42" s="236"/>
      <c r="G42" s="99"/>
      <c r="H42" s="265">
        <f>$H$9</f>
        <v>1.1100000000000001</v>
      </c>
      <c r="I42" s="5">
        <f t="shared" si="3"/>
        <v>1.1100000000000001</v>
      </c>
      <c r="K42">
        <v>40</v>
      </c>
      <c r="L42" s="250" t="s">
        <v>171</v>
      </c>
      <c r="M42">
        <f t="shared" si="4"/>
        <v>2.1341360000000007</v>
      </c>
      <c r="O42" t="str">
        <f t="shared" si="1"/>
        <v xml:space="preserve">40  px  2.134136 </v>
      </c>
      <c r="Q42" t="str">
        <f t="shared" si="2"/>
        <v xml:space="preserve">40 4 -1.42 -500 40 -41 </v>
      </c>
    </row>
    <row r="43" spans="1:17" x14ac:dyDescent="0.2">
      <c r="A43" s="140"/>
      <c r="B43" s="141" t="s">
        <v>173</v>
      </c>
      <c r="C43" s="142">
        <f t="shared" si="8"/>
        <v>108</v>
      </c>
      <c r="D43" s="143">
        <v>2.5399999999999999E-2</v>
      </c>
      <c r="E43" s="245">
        <v>4</v>
      </c>
      <c r="F43" s="237"/>
      <c r="G43" s="145"/>
      <c r="H43" s="258">
        <f t="shared" si="0"/>
        <v>1.42</v>
      </c>
      <c r="I43" s="5">
        <f t="shared" si="3"/>
        <v>1.42</v>
      </c>
      <c r="K43">
        <v>41</v>
      </c>
      <c r="L43" s="250" t="s">
        <v>171</v>
      </c>
      <c r="M43">
        <f t="shared" si="4"/>
        <v>2.1366760000000009</v>
      </c>
      <c r="O43" t="str">
        <f t="shared" si="1"/>
        <v xml:space="preserve">41  px  2.136676 </v>
      </c>
      <c r="Q43" t="str">
        <f t="shared" si="2"/>
        <v xml:space="preserve">41 3 -0.000908 -500 41 -42 </v>
      </c>
    </row>
    <row r="44" spans="1:17" x14ac:dyDescent="0.2">
      <c r="A44" s="140"/>
      <c r="B44" s="141" t="s">
        <v>166</v>
      </c>
      <c r="C44" s="142">
        <f>$C$13</f>
        <v>106</v>
      </c>
      <c r="D44" s="143">
        <f>1.575-SUM(D39:D43)</f>
        <v>1.4070399999999998</v>
      </c>
      <c r="E44" s="245">
        <f>$E$13</f>
        <v>3</v>
      </c>
      <c r="F44" s="237"/>
      <c r="G44" s="145"/>
      <c r="H44" s="266">
        <f>$H$13</f>
        <v>9.0799999999999995E-4</v>
      </c>
      <c r="I44" s="267">
        <f>$I$13</f>
        <v>9.0799999999999995E-4</v>
      </c>
      <c r="K44">
        <v>42</v>
      </c>
      <c r="L44" s="250" t="s">
        <v>171</v>
      </c>
      <c r="M44">
        <f t="shared" si="4"/>
        <v>2.2773800000000008</v>
      </c>
      <c r="O44" t="str">
        <f t="shared" si="1"/>
        <v xml:space="preserve">42  px  2.27738 </v>
      </c>
      <c r="Q44" t="str">
        <f t="shared" si="2"/>
        <v xml:space="preserve">42 1 -2.8 -500 42 -43 </v>
      </c>
    </row>
    <row r="45" spans="1:17" x14ac:dyDescent="0.2">
      <c r="A45" s="140"/>
      <c r="B45" s="170" t="s">
        <v>172</v>
      </c>
      <c r="C45" s="171">
        <f t="shared" si="8"/>
        <v>107</v>
      </c>
      <c r="D45" s="172">
        <v>4.55</v>
      </c>
      <c r="E45" s="243">
        <v>1</v>
      </c>
      <c r="F45" s="271"/>
      <c r="G45" s="174"/>
      <c r="H45" s="262">
        <f t="shared" si="0"/>
        <v>2.8</v>
      </c>
      <c r="I45" s="5">
        <f t="shared" si="3"/>
        <v>2.8</v>
      </c>
      <c r="K45">
        <v>43</v>
      </c>
      <c r="L45" s="250" t="s">
        <v>171</v>
      </c>
      <c r="M45">
        <f t="shared" si="4"/>
        <v>2.7323800000000009</v>
      </c>
      <c r="O45" t="str">
        <f t="shared" si="1"/>
        <v xml:space="preserve">43  px  2.73238 </v>
      </c>
      <c r="Q45" t="str">
        <f t="shared" si="2"/>
        <v xml:space="preserve">43 4 -1.42 -500 43 -44 </v>
      </c>
    </row>
    <row r="46" spans="1:17" x14ac:dyDescent="0.2">
      <c r="A46" s="140"/>
      <c r="B46" s="141" t="s">
        <v>173</v>
      </c>
      <c r="C46" s="142">
        <f t="shared" si="8"/>
        <v>108</v>
      </c>
      <c r="D46" s="143">
        <v>2.5399999999999999E-2</v>
      </c>
      <c r="E46" s="245">
        <v>4</v>
      </c>
      <c r="F46" s="237"/>
      <c r="G46" s="145"/>
      <c r="H46" s="258">
        <f t="shared" si="0"/>
        <v>1.42</v>
      </c>
      <c r="I46" s="5">
        <f t="shared" si="3"/>
        <v>1.42</v>
      </c>
      <c r="K46">
        <v>44</v>
      </c>
      <c r="L46" s="250" t="s">
        <v>171</v>
      </c>
      <c r="M46">
        <f t="shared" si="4"/>
        <v>2.7349200000000011</v>
      </c>
      <c r="O46" t="str">
        <f t="shared" si="1"/>
        <v xml:space="preserve">44  px  2.73492 </v>
      </c>
      <c r="Q46" t="str">
        <f t="shared" si="2"/>
        <v xml:space="preserve">44 10 -1.11 -500 44 -45 </v>
      </c>
    </row>
    <row r="47" spans="1:17" x14ac:dyDescent="0.2">
      <c r="A47" s="140"/>
      <c r="B47" s="101" t="s">
        <v>198</v>
      </c>
      <c r="C47" s="97">
        <v>109</v>
      </c>
      <c r="D47" s="102">
        <f>$D$9</f>
        <v>4.3180000000000003E-2</v>
      </c>
      <c r="E47" s="241">
        <f>$E$9</f>
        <v>10</v>
      </c>
      <c r="F47" s="236"/>
      <c r="G47" s="99"/>
      <c r="H47" s="265">
        <f>$H$9</f>
        <v>1.1100000000000001</v>
      </c>
      <c r="I47" s="5">
        <f t="shared" si="3"/>
        <v>1.1100000000000001</v>
      </c>
      <c r="K47">
        <v>45</v>
      </c>
      <c r="L47" s="250" t="s">
        <v>171</v>
      </c>
      <c r="M47">
        <f t="shared" si="4"/>
        <v>2.7392380000000012</v>
      </c>
      <c r="O47" t="str">
        <f t="shared" si="1"/>
        <v xml:space="preserve">45  px  2.739238 </v>
      </c>
      <c r="Q47" t="str">
        <f t="shared" si="2"/>
        <v xml:space="preserve">45 8 -2.50852713178295 -500 45 -46 </v>
      </c>
    </row>
    <row r="48" spans="1:17" x14ac:dyDescent="0.2">
      <c r="A48" s="235" t="s">
        <v>189</v>
      </c>
      <c r="B48" s="158" t="s">
        <v>26</v>
      </c>
      <c r="C48" s="159">
        <v>13</v>
      </c>
      <c r="D48" s="160">
        <v>2.58E-2</v>
      </c>
      <c r="E48" s="246">
        <v>8</v>
      </c>
      <c r="F48" s="238">
        <v>6.4720000000000004</v>
      </c>
      <c r="G48" s="162"/>
      <c r="H48" s="259">
        <f t="shared" si="0"/>
        <v>2.698</v>
      </c>
      <c r="I48" s="5">
        <f>F48/(100*D48)</f>
        <v>2.5085271317829458</v>
      </c>
      <c r="K48">
        <v>46</v>
      </c>
      <c r="L48" s="250" t="s">
        <v>171</v>
      </c>
      <c r="M48">
        <f t="shared" si="4"/>
        <v>2.7418180000000012</v>
      </c>
      <c r="O48" t="str">
        <f t="shared" si="1"/>
        <v xml:space="preserve">46  px  2.741818 </v>
      </c>
      <c r="Q48" t="str">
        <f t="shared" si="2"/>
        <v xml:space="preserve">46 10 -1.11 -500 46 -47 </v>
      </c>
    </row>
    <row r="49" spans="1:17" s="11" customFormat="1" x14ac:dyDescent="0.2">
      <c r="A49" s="264"/>
      <c r="B49" s="101" t="s">
        <v>198</v>
      </c>
      <c r="C49" s="97">
        <v>109</v>
      </c>
      <c r="D49" s="102">
        <f>$D$9</f>
        <v>4.3180000000000003E-2</v>
      </c>
      <c r="E49" s="241">
        <f>$E$9</f>
        <v>10</v>
      </c>
      <c r="F49" s="236"/>
      <c r="G49" s="99"/>
      <c r="H49" s="265">
        <f>$H$9</f>
        <v>1.1100000000000001</v>
      </c>
      <c r="I49" s="5">
        <f t="shared" si="3"/>
        <v>1.1100000000000001</v>
      </c>
      <c r="K49">
        <v>47</v>
      </c>
      <c r="L49" s="250" t="s">
        <v>171</v>
      </c>
      <c r="M49">
        <f t="shared" si="4"/>
        <v>2.7461360000000012</v>
      </c>
      <c r="O49" t="str">
        <f t="shared" si="1"/>
        <v xml:space="preserve">47  px  2.746136 </v>
      </c>
      <c r="Q49" t="str">
        <f t="shared" si="2"/>
        <v xml:space="preserve">47 4 -1.42 -500 47 -48 </v>
      </c>
    </row>
    <row r="50" spans="1:17" x14ac:dyDescent="0.2">
      <c r="A50" s="140"/>
      <c r="B50" s="141" t="s">
        <v>173</v>
      </c>
      <c r="C50" s="142">
        <f t="shared" ref="C50:E65" si="9">VLOOKUP(B50,Element,2,FALSE)</f>
        <v>108</v>
      </c>
      <c r="D50" s="143">
        <v>2.5399999999999999E-2</v>
      </c>
      <c r="E50" s="245">
        <v>4</v>
      </c>
      <c r="F50" s="237"/>
      <c r="G50" s="145"/>
      <c r="H50" s="258">
        <f t="shared" si="0"/>
        <v>1.42</v>
      </c>
      <c r="I50" s="5">
        <f t="shared" si="3"/>
        <v>1.42</v>
      </c>
      <c r="K50">
        <v>48</v>
      </c>
      <c r="L50" s="250" t="s">
        <v>171</v>
      </c>
      <c r="M50">
        <f t="shared" si="4"/>
        <v>2.7486760000000015</v>
      </c>
      <c r="O50" t="str">
        <f t="shared" si="1"/>
        <v xml:space="preserve">48  px  2.748676 </v>
      </c>
      <c r="Q50" t="str">
        <f t="shared" si="2"/>
        <v xml:space="preserve">48 3 -0.000908 -500 48 -49 </v>
      </c>
    </row>
    <row r="51" spans="1:17" x14ac:dyDescent="0.2">
      <c r="A51" s="140"/>
      <c r="B51" s="141" t="s">
        <v>166</v>
      </c>
      <c r="C51" s="142">
        <f>$C$13</f>
        <v>106</v>
      </c>
      <c r="D51" s="143">
        <f>1.575-SUM(D46:D50)</f>
        <v>1.41204</v>
      </c>
      <c r="E51" s="245">
        <f>$E$13</f>
        <v>3</v>
      </c>
      <c r="F51" s="237"/>
      <c r="G51" s="145"/>
      <c r="H51" s="266">
        <f>$H$13</f>
        <v>9.0799999999999995E-4</v>
      </c>
      <c r="I51" s="267">
        <f>$I$13</f>
        <v>9.0799999999999995E-4</v>
      </c>
      <c r="K51">
        <v>49</v>
      </c>
      <c r="L51" s="250" t="s">
        <v>171</v>
      </c>
      <c r="M51">
        <f t="shared" si="4"/>
        <v>2.8898800000000016</v>
      </c>
      <c r="O51" t="str">
        <f t="shared" si="1"/>
        <v xml:space="preserve">49  px  2.88988 </v>
      </c>
      <c r="Q51" t="str">
        <f t="shared" si="2"/>
        <v xml:space="preserve">49 4 -1.42 -500 49 -50 </v>
      </c>
    </row>
    <row r="52" spans="1:17" x14ac:dyDescent="0.2">
      <c r="A52" s="140"/>
      <c r="B52" s="141" t="s">
        <v>173</v>
      </c>
      <c r="C52" s="142">
        <f>VLOOKUP(B52,Element,2,FALSE)</f>
        <v>108</v>
      </c>
      <c r="D52" s="143">
        <v>2.5399999999999999E-2</v>
      </c>
      <c r="E52" s="245">
        <v>4</v>
      </c>
      <c r="F52" s="237"/>
      <c r="G52" s="145"/>
      <c r="H52" s="258">
        <f>VLOOKUP(B52,Element,3,FALSE)</f>
        <v>1.42</v>
      </c>
      <c r="I52" s="5">
        <f t="shared" si="3"/>
        <v>1.42</v>
      </c>
      <c r="K52">
        <v>50</v>
      </c>
      <c r="L52" s="250" t="s">
        <v>171</v>
      </c>
      <c r="M52">
        <f t="shared" si="4"/>
        <v>2.8924200000000018</v>
      </c>
      <c r="O52" t="str">
        <f t="shared" si="1"/>
        <v xml:space="preserve">50  px  2.89242 </v>
      </c>
      <c r="Q52" t="str">
        <f t="shared" si="2"/>
        <v xml:space="preserve">50 10 -1.11 -500 50 -51 </v>
      </c>
    </row>
    <row r="53" spans="1:17" x14ac:dyDescent="0.2">
      <c r="A53" s="140"/>
      <c r="B53" s="101" t="s">
        <v>198</v>
      </c>
      <c r="C53" s="97">
        <v>109</v>
      </c>
      <c r="D53" s="102">
        <f>$D$9</f>
        <v>4.3180000000000003E-2</v>
      </c>
      <c r="E53" s="241">
        <f>$E$9</f>
        <v>10</v>
      </c>
      <c r="F53" s="236"/>
      <c r="G53" s="99"/>
      <c r="H53" s="265">
        <f>$H$9</f>
        <v>1.1100000000000001</v>
      </c>
      <c r="I53" s="5">
        <f t="shared" si="3"/>
        <v>1.1100000000000001</v>
      </c>
      <c r="K53">
        <v>51</v>
      </c>
      <c r="L53" s="250" t="s">
        <v>171</v>
      </c>
      <c r="M53">
        <f t="shared" si="4"/>
        <v>2.8967380000000018</v>
      </c>
      <c r="O53" t="str">
        <f t="shared" si="1"/>
        <v xml:space="preserve">51  px  2.896738 </v>
      </c>
      <c r="Q53" t="str">
        <f t="shared" si="2"/>
        <v xml:space="preserve">51 9 -8.77788617886179 -500 51 -52 </v>
      </c>
    </row>
    <row r="54" spans="1:17" x14ac:dyDescent="0.2">
      <c r="A54" s="235" t="s">
        <v>191</v>
      </c>
      <c r="B54" s="214" t="s">
        <v>42</v>
      </c>
      <c r="C54" s="215">
        <f>VLOOKUP(B54,Element,2,FALSE)</f>
        <v>29</v>
      </c>
      <c r="D54" s="216">
        <v>6.1499999999999999E-2</v>
      </c>
      <c r="E54" s="247">
        <v>9</v>
      </c>
      <c r="F54" s="239">
        <v>53.984000000000002</v>
      </c>
      <c r="G54" s="217"/>
      <c r="H54" s="260">
        <f>VLOOKUP(B54,Element,3,FALSE)</f>
        <v>8.9489999999999998</v>
      </c>
      <c r="I54" s="5">
        <f>F54/(100*D54)</f>
        <v>8.7778861788617881</v>
      </c>
      <c r="K54">
        <v>52</v>
      </c>
      <c r="L54" s="250" t="s">
        <v>171</v>
      </c>
      <c r="M54">
        <f t="shared" si="4"/>
        <v>2.9028880000000017</v>
      </c>
      <c r="O54" t="str">
        <f t="shared" si="1"/>
        <v xml:space="preserve">52  px  2.902888 </v>
      </c>
      <c r="Q54" t="str">
        <f t="shared" si="2"/>
        <v xml:space="preserve">52 10 -1.11 -500 52 -53 </v>
      </c>
    </row>
    <row r="55" spans="1:17" s="11" customFormat="1" x14ac:dyDescent="0.2">
      <c r="A55" s="264"/>
      <c r="B55" s="101" t="s">
        <v>198</v>
      </c>
      <c r="C55" s="97">
        <v>109</v>
      </c>
      <c r="D55" s="102">
        <f>$D$9</f>
        <v>4.3180000000000003E-2</v>
      </c>
      <c r="E55" s="241">
        <f>$E$9</f>
        <v>10</v>
      </c>
      <c r="F55" s="236"/>
      <c r="G55" s="99"/>
      <c r="H55" s="265">
        <f>$H$9</f>
        <v>1.1100000000000001</v>
      </c>
      <c r="I55" s="5">
        <f t="shared" si="3"/>
        <v>1.1100000000000001</v>
      </c>
      <c r="K55">
        <v>53</v>
      </c>
      <c r="L55" s="250" t="s">
        <v>171</v>
      </c>
      <c r="M55">
        <f t="shared" si="4"/>
        <v>2.9072060000000017</v>
      </c>
      <c r="O55" t="str">
        <f t="shared" si="1"/>
        <v xml:space="preserve">53  px  2.907206 </v>
      </c>
      <c r="Q55" t="str">
        <f t="shared" si="2"/>
        <v xml:space="preserve">53 4 -1.42 -500 53 -54 </v>
      </c>
    </row>
    <row r="56" spans="1:17" x14ac:dyDescent="0.2">
      <c r="A56" s="140"/>
      <c r="B56" s="141" t="s">
        <v>173</v>
      </c>
      <c r="C56" s="142">
        <f>VLOOKUP(B56,Element,2,FALSE)</f>
        <v>108</v>
      </c>
      <c r="D56" s="143">
        <v>2.5399999999999999E-2</v>
      </c>
      <c r="E56" s="245">
        <v>4</v>
      </c>
      <c r="F56" s="237"/>
      <c r="G56" s="145"/>
      <c r="H56" s="258">
        <f>VLOOKUP(B56,Element,3,FALSE)</f>
        <v>1.42</v>
      </c>
      <c r="I56" s="5">
        <f t="shared" si="3"/>
        <v>1.42</v>
      </c>
      <c r="K56">
        <v>54</v>
      </c>
      <c r="L56" s="250" t="s">
        <v>171</v>
      </c>
      <c r="M56">
        <f t="shared" si="4"/>
        <v>2.9097460000000019</v>
      </c>
      <c r="O56" t="str">
        <f t="shared" si="1"/>
        <v xml:space="preserve">54  px  2.909746 </v>
      </c>
      <c r="Q56" t="str">
        <f t="shared" si="2"/>
        <v xml:space="preserve">54 3 -0.000908 -500 54 -55 </v>
      </c>
    </row>
    <row r="57" spans="1:17" x14ac:dyDescent="0.2">
      <c r="A57" s="140"/>
      <c r="B57" s="141" t="s">
        <v>166</v>
      </c>
      <c r="C57" s="142">
        <f>$C$13</f>
        <v>106</v>
      </c>
      <c r="D57" s="143">
        <f>1.575-SUM(D52:D56)</f>
        <v>1.3763399999999999</v>
      </c>
      <c r="E57" s="245">
        <f>$E$13</f>
        <v>3</v>
      </c>
      <c r="F57" s="237"/>
      <c r="G57" s="145"/>
      <c r="H57" s="266">
        <f>$H$13</f>
        <v>9.0799999999999995E-4</v>
      </c>
      <c r="I57" s="267">
        <f>$I$13</f>
        <v>9.0799999999999995E-4</v>
      </c>
      <c r="K57">
        <v>55</v>
      </c>
      <c r="L57" s="250" t="s">
        <v>171</v>
      </c>
      <c r="M57">
        <f t="shared" si="4"/>
        <v>3.0473800000000018</v>
      </c>
      <c r="O57" t="str">
        <f t="shared" si="1"/>
        <v xml:space="preserve">55  px  3.04738 </v>
      </c>
      <c r="Q57" t="str">
        <f t="shared" si="2"/>
        <v xml:space="preserve">55 4 -1.42 -500 55 -56 </v>
      </c>
    </row>
    <row r="58" spans="1:17" x14ac:dyDescent="0.2">
      <c r="A58" s="140"/>
      <c r="B58" s="141" t="s">
        <v>173</v>
      </c>
      <c r="C58" s="142">
        <f t="shared" si="9"/>
        <v>108</v>
      </c>
      <c r="D58" s="143">
        <v>2.5399999999999999E-2</v>
      </c>
      <c r="E58" s="245">
        <v>4</v>
      </c>
      <c r="F58" s="237"/>
      <c r="G58" s="145"/>
      <c r="H58" s="258">
        <f t="shared" si="0"/>
        <v>1.42</v>
      </c>
      <c r="I58" s="5">
        <f t="shared" si="3"/>
        <v>1.42</v>
      </c>
      <c r="K58">
        <v>56</v>
      </c>
      <c r="L58" s="250" t="s">
        <v>171</v>
      </c>
      <c r="M58">
        <f t="shared" si="4"/>
        <v>3.049920000000002</v>
      </c>
      <c r="O58" t="str">
        <f t="shared" si="1"/>
        <v xml:space="preserve">56  px  3.04992 </v>
      </c>
      <c r="Q58" t="str">
        <f t="shared" si="2"/>
        <v xml:space="preserve">56 10 -1.11 -500 56 -57 </v>
      </c>
    </row>
    <row r="59" spans="1:17" x14ac:dyDescent="0.2">
      <c r="A59" s="140"/>
      <c r="B59" s="101" t="s">
        <v>198</v>
      </c>
      <c r="C59" s="97">
        <v>109</v>
      </c>
      <c r="D59" s="102">
        <f>$D$9</f>
        <v>4.3180000000000003E-2</v>
      </c>
      <c r="E59" s="241">
        <f>$E$9</f>
        <v>10</v>
      </c>
      <c r="F59" s="236"/>
      <c r="G59" s="99"/>
      <c r="H59" s="265">
        <f>$H$9</f>
        <v>1.1100000000000001</v>
      </c>
      <c r="I59" s="5">
        <f t="shared" si="3"/>
        <v>1.1100000000000001</v>
      </c>
      <c r="K59">
        <v>57</v>
      </c>
      <c r="L59" s="250" t="s">
        <v>171</v>
      </c>
      <c r="M59">
        <f t="shared" si="4"/>
        <v>3.054238000000002</v>
      </c>
      <c r="O59" t="str">
        <f t="shared" si="1"/>
        <v xml:space="preserve">57  px  3.054238 </v>
      </c>
      <c r="Q59" t="str">
        <f t="shared" si="2"/>
        <v xml:space="preserve">57 5 -7.38903225806452 -500 57 -58 </v>
      </c>
    </row>
    <row r="60" spans="1:17" x14ac:dyDescent="0.2">
      <c r="A60" s="235" t="s">
        <v>192</v>
      </c>
      <c r="B60" s="164" t="s">
        <v>55</v>
      </c>
      <c r="C60" s="165">
        <f t="shared" si="9"/>
        <v>41</v>
      </c>
      <c r="D60" s="166">
        <v>3.1E-2</v>
      </c>
      <c r="E60" s="248">
        <v>5</v>
      </c>
      <c r="F60" s="240">
        <v>22.905999999999999</v>
      </c>
      <c r="G60" s="167"/>
      <c r="H60" s="261">
        <f t="shared" si="0"/>
        <v>8.6020000000000003</v>
      </c>
      <c r="I60" s="5">
        <f>F60/(100*D60)</f>
        <v>7.3890322580645158</v>
      </c>
      <c r="K60">
        <v>58</v>
      </c>
      <c r="L60" s="250" t="s">
        <v>171</v>
      </c>
      <c r="M60">
        <f t="shared" si="4"/>
        <v>3.0573380000000019</v>
      </c>
      <c r="O60" t="str">
        <f t="shared" si="1"/>
        <v xml:space="preserve">58  px  3.057338 </v>
      </c>
      <c r="Q60" t="str">
        <f t="shared" si="2"/>
        <v xml:space="preserve">58 10 -1.11 -500 58 -59 </v>
      </c>
    </row>
    <row r="61" spans="1:17" s="11" customFormat="1" x14ac:dyDescent="0.2">
      <c r="A61" s="264"/>
      <c r="B61" s="101" t="s">
        <v>198</v>
      </c>
      <c r="C61" s="97">
        <v>109</v>
      </c>
      <c r="D61" s="102">
        <f>$D$9</f>
        <v>4.3180000000000003E-2</v>
      </c>
      <c r="E61" s="241">
        <f>$E$9</f>
        <v>10</v>
      </c>
      <c r="F61" s="236"/>
      <c r="G61" s="99"/>
      <c r="H61" s="265">
        <f>$H$9</f>
        <v>1.1100000000000001</v>
      </c>
      <c r="I61" s="5">
        <f t="shared" si="3"/>
        <v>1.1100000000000001</v>
      </c>
      <c r="K61">
        <v>59</v>
      </c>
      <c r="L61" s="250" t="s">
        <v>171</v>
      </c>
      <c r="M61">
        <f t="shared" si="4"/>
        <v>3.0616560000000019</v>
      </c>
      <c r="O61" t="str">
        <f t="shared" si="1"/>
        <v xml:space="preserve">59  px  3.061656 </v>
      </c>
      <c r="Q61" t="str">
        <f t="shared" si="2"/>
        <v xml:space="preserve">59 4 -1.42 -500 59 -60 </v>
      </c>
    </row>
    <row r="62" spans="1:17" x14ac:dyDescent="0.2">
      <c r="A62" s="140"/>
      <c r="B62" s="141" t="s">
        <v>173</v>
      </c>
      <c r="C62" s="142">
        <f t="shared" si="9"/>
        <v>108</v>
      </c>
      <c r="D62" s="143">
        <v>2.5399999999999999E-2</v>
      </c>
      <c r="E62" s="245">
        <v>4</v>
      </c>
      <c r="F62" s="237"/>
      <c r="G62" s="145"/>
      <c r="H62" s="258">
        <f t="shared" si="0"/>
        <v>1.42</v>
      </c>
      <c r="I62" s="5">
        <f t="shared" si="3"/>
        <v>1.42</v>
      </c>
      <c r="K62">
        <v>60</v>
      </c>
      <c r="L62" s="250" t="s">
        <v>171</v>
      </c>
      <c r="M62">
        <f t="shared" si="4"/>
        <v>3.0641960000000021</v>
      </c>
      <c r="O62" t="str">
        <f t="shared" si="1"/>
        <v xml:space="preserve">60  px  3.064196 </v>
      </c>
      <c r="Q62" t="str">
        <f t="shared" si="2"/>
        <v xml:space="preserve">60 3 -0.000908 -500 60 -61 </v>
      </c>
    </row>
    <row r="63" spans="1:17" x14ac:dyDescent="0.2">
      <c r="A63" s="140"/>
      <c r="B63" s="141" t="s">
        <v>166</v>
      </c>
      <c r="C63" s="142">
        <f>$C$13</f>
        <v>106</v>
      </c>
      <c r="D63" s="143">
        <f>1.575-SUM(D58:D62)</f>
        <v>1.4068399999999999</v>
      </c>
      <c r="E63" s="245">
        <f>$E$13</f>
        <v>3</v>
      </c>
      <c r="F63" s="237"/>
      <c r="G63" s="145"/>
      <c r="H63" s="266">
        <f>$H$13</f>
        <v>9.0799999999999995E-4</v>
      </c>
      <c r="I63" s="267">
        <f>$I$13</f>
        <v>9.0799999999999995E-4</v>
      </c>
      <c r="K63">
        <v>61</v>
      </c>
      <c r="L63" s="250" t="s">
        <v>171</v>
      </c>
      <c r="M63">
        <f t="shared" si="4"/>
        <v>3.2048800000000019</v>
      </c>
      <c r="O63" t="str">
        <f t="shared" si="1"/>
        <v xml:space="preserve">61  px  3.20488 </v>
      </c>
      <c r="Q63" t="str">
        <f t="shared" si="2"/>
        <v xml:space="preserve">61 1 -2.8 -500 61 -62 </v>
      </c>
    </row>
    <row r="64" spans="1:17" x14ac:dyDescent="0.2">
      <c r="A64" s="140"/>
      <c r="B64" s="170" t="s">
        <v>172</v>
      </c>
      <c r="C64" s="171">
        <f t="shared" si="9"/>
        <v>107</v>
      </c>
      <c r="D64" s="172">
        <v>3.52</v>
      </c>
      <c r="E64" s="243">
        <v>1</v>
      </c>
      <c r="F64" s="271"/>
      <c r="G64" s="174"/>
      <c r="H64" s="262">
        <f t="shared" si="0"/>
        <v>2.8</v>
      </c>
      <c r="I64" s="5">
        <f t="shared" si="3"/>
        <v>2.8</v>
      </c>
      <c r="K64">
        <v>62</v>
      </c>
      <c r="L64" s="250" t="s">
        <v>171</v>
      </c>
      <c r="M64">
        <f t="shared" si="4"/>
        <v>3.5568800000000018</v>
      </c>
      <c r="O64" t="str">
        <f t="shared" si="1"/>
        <v xml:space="preserve">62  px  3.55688 </v>
      </c>
      <c r="Q64" t="str">
        <f t="shared" si="2"/>
        <v xml:space="preserve">62 4 -1.42 -500 62 -63 </v>
      </c>
    </row>
    <row r="65" spans="1:17" x14ac:dyDescent="0.2">
      <c r="A65" s="140"/>
      <c r="B65" s="141" t="s">
        <v>173</v>
      </c>
      <c r="C65" s="142">
        <f t="shared" si="9"/>
        <v>108</v>
      </c>
      <c r="D65" s="143">
        <v>2.5399999999999999E-2</v>
      </c>
      <c r="E65" s="245">
        <v>4</v>
      </c>
      <c r="F65" s="237"/>
      <c r="G65" s="145"/>
      <c r="H65" s="258">
        <f t="shared" si="0"/>
        <v>1.42</v>
      </c>
      <c r="I65" s="5">
        <f t="shared" si="3"/>
        <v>1.42</v>
      </c>
      <c r="K65">
        <v>63</v>
      </c>
      <c r="L65" s="250" t="s">
        <v>171</v>
      </c>
      <c r="M65">
        <f t="shared" si="4"/>
        <v>3.559420000000002</v>
      </c>
      <c r="O65" t="str">
        <f t="shared" si="1"/>
        <v xml:space="preserve">63  px  3.55942 </v>
      </c>
      <c r="Q65" t="str">
        <f t="shared" si="2"/>
        <v xml:space="preserve">63 10 -1.11 -500 63 -64 </v>
      </c>
    </row>
    <row r="66" spans="1:17" x14ac:dyDescent="0.2">
      <c r="A66" s="140"/>
      <c r="B66" s="101" t="s">
        <v>198</v>
      </c>
      <c r="C66" s="97">
        <v>109</v>
      </c>
      <c r="D66" s="102">
        <f>$D$9</f>
        <v>4.3180000000000003E-2</v>
      </c>
      <c r="E66" s="241">
        <f>$E$9</f>
        <v>10</v>
      </c>
      <c r="F66" s="236"/>
      <c r="G66" s="99"/>
      <c r="H66" s="265">
        <f>$H$9</f>
        <v>1.1100000000000001</v>
      </c>
      <c r="I66" s="5">
        <f t="shared" si="3"/>
        <v>1.1100000000000001</v>
      </c>
      <c r="K66">
        <v>64</v>
      </c>
      <c r="L66" s="250" t="s">
        <v>171</v>
      </c>
      <c r="M66">
        <f t="shared" si="4"/>
        <v>3.5637380000000021</v>
      </c>
      <c r="O66" t="str">
        <f t="shared" si="1"/>
        <v xml:space="preserve">64  px  3.563738 </v>
      </c>
      <c r="Q66" t="str">
        <f t="shared" si="2"/>
        <v xml:space="preserve">64 8 -2.47338403041825 -500 64 -65 </v>
      </c>
    </row>
    <row r="67" spans="1:17" x14ac:dyDescent="0.2">
      <c r="A67" s="235" t="s">
        <v>187</v>
      </c>
      <c r="B67" s="158" t="s">
        <v>26</v>
      </c>
      <c r="C67" s="159">
        <v>13</v>
      </c>
      <c r="D67" s="160">
        <v>2.63E-2</v>
      </c>
      <c r="E67" s="246">
        <v>8</v>
      </c>
      <c r="F67" s="238">
        <v>6.5049999999999999</v>
      </c>
      <c r="G67" s="162"/>
      <c r="H67" s="259">
        <f t="shared" si="0"/>
        <v>2.698</v>
      </c>
      <c r="I67" s="5">
        <f>F67/(100*D67)</f>
        <v>2.4733840304182508</v>
      </c>
      <c r="K67">
        <v>65</v>
      </c>
      <c r="L67" s="250" t="s">
        <v>171</v>
      </c>
      <c r="M67">
        <f t="shared" si="4"/>
        <v>3.566368000000002</v>
      </c>
      <c r="O67" t="str">
        <f t="shared" si="1"/>
        <v xml:space="preserve">65  px  3.566368 </v>
      </c>
      <c r="Q67" t="str">
        <f t="shared" si="2"/>
        <v xml:space="preserve">65 10 -1.11 -500 65 -66 </v>
      </c>
    </row>
    <row r="68" spans="1:17" s="11" customFormat="1" x14ac:dyDescent="0.2">
      <c r="A68" s="264"/>
      <c r="B68" s="101" t="s">
        <v>198</v>
      </c>
      <c r="C68" s="97">
        <v>109</v>
      </c>
      <c r="D68" s="102">
        <f>$D$9</f>
        <v>4.3180000000000003E-2</v>
      </c>
      <c r="E68" s="241">
        <f>$E$9</f>
        <v>10</v>
      </c>
      <c r="F68" s="236"/>
      <c r="G68" s="99"/>
      <c r="H68" s="265">
        <f>$H$9</f>
        <v>1.1100000000000001</v>
      </c>
      <c r="I68" s="5">
        <f t="shared" si="3"/>
        <v>1.1100000000000001</v>
      </c>
      <c r="K68">
        <v>66</v>
      </c>
      <c r="L68" s="250" t="s">
        <v>171</v>
      </c>
      <c r="M68">
        <f t="shared" si="4"/>
        <v>3.570686000000002</v>
      </c>
      <c r="O68" t="str">
        <f t="shared" ref="O68:O121" si="10">CONCATENATE(K68,"  ",L68,"  ",M68," ")</f>
        <v xml:space="preserve">66  px  3.570686 </v>
      </c>
      <c r="Q68" t="str">
        <f t="shared" ref="Q68:Q120" si="11">CONCATENATE(K68," ",E69," -",I69," -500 ",K68," -",K69," ")</f>
        <v xml:space="preserve">66 4 -1.42 -500 66 -67 </v>
      </c>
    </row>
    <row r="69" spans="1:17" x14ac:dyDescent="0.2">
      <c r="A69" s="140"/>
      <c r="B69" s="141" t="s">
        <v>173</v>
      </c>
      <c r="C69" s="142">
        <f t="shared" ref="C69:E84" si="12">VLOOKUP(B69,Element,2,FALSE)</f>
        <v>108</v>
      </c>
      <c r="D69" s="143">
        <v>2.5399999999999999E-2</v>
      </c>
      <c r="E69" s="245">
        <v>4</v>
      </c>
      <c r="F69" s="237"/>
      <c r="G69" s="145"/>
      <c r="H69" s="258">
        <f t="shared" si="0"/>
        <v>1.42</v>
      </c>
      <c r="I69" s="5">
        <f t="shared" ref="I69:I121" si="13">H69</f>
        <v>1.42</v>
      </c>
      <c r="K69">
        <v>67</v>
      </c>
      <c r="L69" s="250" t="s">
        <v>171</v>
      </c>
      <c r="M69">
        <f t="shared" ref="M69:M121" si="14">M68+(D69/10)</f>
        <v>3.5732260000000022</v>
      </c>
      <c r="O69" t="str">
        <f t="shared" si="10"/>
        <v xml:space="preserve">67  px  3.573226 </v>
      </c>
      <c r="Q69" t="str">
        <f t="shared" si="11"/>
        <v xml:space="preserve">67 3 -0.000908 -500 67 -68 </v>
      </c>
    </row>
    <row r="70" spans="1:17" x14ac:dyDescent="0.2">
      <c r="A70" s="140"/>
      <c r="B70" s="141" t="s">
        <v>166</v>
      </c>
      <c r="C70" s="142">
        <f>$C$13</f>
        <v>106</v>
      </c>
      <c r="D70" s="143">
        <f>1.575-SUM(D65:D69)</f>
        <v>1.41154</v>
      </c>
      <c r="E70" s="245">
        <f>$E$13</f>
        <v>3</v>
      </c>
      <c r="F70" s="237"/>
      <c r="G70" s="145"/>
      <c r="H70" s="266">
        <f>$H$13</f>
        <v>9.0799999999999995E-4</v>
      </c>
      <c r="I70" s="267">
        <f>$I$13</f>
        <v>9.0799999999999995E-4</v>
      </c>
      <c r="K70">
        <v>68</v>
      </c>
      <c r="L70" s="250" t="s">
        <v>171</v>
      </c>
      <c r="M70">
        <f t="shared" si="14"/>
        <v>3.714380000000002</v>
      </c>
      <c r="O70" t="str">
        <f t="shared" si="10"/>
        <v xml:space="preserve">68  px  3.71438 </v>
      </c>
      <c r="Q70" t="str">
        <f t="shared" si="11"/>
        <v xml:space="preserve">68 4 -1.42 -500 68 -69 </v>
      </c>
    </row>
    <row r="71" spans="1:17" x14ac:dyDescent="0.2">
      <c r="A71" s="140"/>
      <c r="B71" s="141" t="s">
        <v>173</v>
      </c>
      <c r="C71" s="142">
        <f>VLOOKUP(B71,Element,2,FALSE)</f>
        <v>108</v>
      </c>
      <c r="D71" s="143">
        <v>2.5399999999999999E-2</v>
      </c>
      <c r="E71" s="245">
        <v>4</v>
      </c>
      <c r="F71" s="237"/>
      <c r="G71" s="145"/>
      <c r="H71" s="258">
        <f t="shared" si="0"/>
        <v>1.42</v>
      </c>
      <c r="I71" s="5">
        <f t="shared" si="13"/>
        <v>1.42</v>
      </c>
      <c r="K71">
        <v>69</v>
      </c>
      <c r="L71" s="250" t="s">
        <v>171</v>
      </c>
      <c r="M71">
        <f t="shared" si="14"/>
        <v>3.7169200000000022</v>
      </c>
      <c r="O71" t="str">
        <f t="shared" si="10"/>
        <v xml:space="preserve">69  px  3.71692 </v>
      </c>
      <c r="Q71" t="str">
        <f t="shared" si="11"/>
        <v xml:space="preserve">69 10 -1.11 -500 69 -70 </v>
      </c>
    </row>
    <row r="72" spans="1:17" x14ac:dyDescent="0.2">
      <c r="A72" s="140"/>
      <c r="B72" s="101" t="s">
        <v>198</v>
      </c>
      <c r="C72" s="97">
        <v>109</v>
      </c>
      <c r="D72" s="102">
        <f>$D$9</f>
        <v>4.3180000000000003E-2</v>
      </c>
      <c r="E72" s="241">
        <f>$E$9</f>
        <v>10</v>
      </c>
      <c r="F72" s="236"/>
      <c r="G72" s="99"/>
      <c r="H72" s="265">
        <f>$H$9</f>
        <v>1.1100000000000001</v>
      </c>
      <c r="I72" s="5">
        <f t="shared" si="13"/>
        <v>1.1100000000000001</v>
      </c>
      <c r="K72">
        <v>70</v>
      </c>
      <c r="L72" s="250" t="s">
        <v>171</v>
      </c>
      <c r="M72">
        <f t="shared" si="14"/>
        <v>3.7212380000000023</v>
      </c>
      <c r="O72" t="str">
        <f t="shared" si="10"/>
        <v xml:space="preserve">70  px  3.721238 </v>
      </c>
      <c r="Q72" t="str">
        <f t="shared" si="11"/>
        <v xml:space="preserve">70 9 -8.72153344208809 -500 70 -71 </v>
      </c>
    </row>
    <row r="73" spans="1:17" x14ac:dyDescent="0.2">
      <c r="A73" s="235" t="s">
        <v>193</v>
      </c>
      <c r="B73" s="214" t="s">
        <v>42</v>
      </c>
      <c r="C73" s="215">
        <f>VLOOKUP(B73,Element,2,FALSE)</f>
        <v>29</v>
      </c>
      <c r="D73" s="216">
        <v>6.13E-2</v>
      </c>
      <c r="E73" s="247">
        <v>9</v>
      </c>
      <c r="F73" s="239">
        <v>53.463000000000001</v>
      </c>
      <c r="G73" s="217"/>
      <c r="H73" s="260">
        <f t="shared" si="0"/>
        <v>8.9489999999999998</v>
      </c>
      <c r="I73" s="5">
        <f>F73/(100*D73)</f>
        <v>8.7215334420880914</v>
      </c>
      <c r="K73">
        <v>71</v>
      </c>
      <c r="L73" s="250" t="s">
        <v>171</v>
      </c>
      <c r="M73">
        <f t="shared" si="14"/>
        <v>3.7273680000000025</v>
      </c>
      <c r="O73" t="str">
        <f t="shared" si="10"/>
        <v xml:space="preserve">71  px  3.727368 </v>
      </c>
      <c r="Q73" t="str">
        <f t="shared" si="11"/>
        <v xml:space="preserve">71 10 -1.11 -500 71 -72 </v>
      </c>
    </row>
    <row r="74" spans="1:17" s="11" customFormat="1" x14ac:dyDescent="0.2">
      <c r="A74" s="264"/>
      <c r="B74" s="101" t="s">
        <v>198</v>
      </c>
      <c r="C74" s="97">
        <v>109</v>
      </c>
      <c r="D74" s="102">
        <f>$D$9</f>
        <v>4.3180000000000003E-2</v>
      </c>
      <c r="E74" s="241">
        <f>$E$9</f>
        <v>10</v>
      </c>
      <c r="F74" s="236"/>
      <c r="G74" s="99"/>
      <c r="H74" s="265">
        <f>$H$9</f>
        <v>1.1100000000000001</v>
      </c>
      <c r="I74" s="5">
        <f t="shared" si="13"/>
        <v>1.1100000000000001</v>
      </c>
      <c r="K74">
        <v>72</v>
      </c>
      <c r="L74" s="250" t="s">
        <v>171</v>
      </c>
      <c r="M74">
        <f t="shared" si="14"/>
        <v>3.7316860000000025</v>
      </c>
      <c r="O74" t="str">
        <f t="shared" si="10"/>
        <v xml:space="preserve">72  px  3.731686 </v>
      </c>
      <c r="Q74" t="str">
        <f t="shared" si="11"/>
        <v xml:space="preserve">72 4 -1.42 -500 72 -73 </v>
      </c>
    </row>
    <row r="75" spans="1:17" x14ac:dyDescent="0.2">
      <c r="A75" s="140"/>
      <c r="B75" s="141" t="s">
        <v>173</v>
      </c>
      <c r="C75" s="142">
        <f>VLOOKUP(B75,Element,2,FALSE)</f>
        <v>108</v>
      </c>
      <c r="D75" s="143">
        <v>2.5399999999999999E-2</v>
      </c>
      <c r="E75" s="245">
        <v>4</v>
      </c>
      <c r="F75" s="237"/>
      <c r="G75" s="145"/>
      <c r="H75" s="258">
        <f t="shared" si="0"/>
        <v>1.42</v>
      </c>
      <c r="I75" s="5">
        <f t="shared" si="13"/>
        <v>1.42</v>
      </c>
      <c r="K75">
        <v>73</v>
      </c>
      <c r="L75" s="250" t="s">
        <v>171</v>
      </c>
      <c r="M75">
        <f t="shared" si="14"/>
        <v>3.7342260000000027</v>
      </c>
      <c r="O75" t="str">
        <f t="shared" si="10"/>
        <v xml:space="preserve">73  px  3.734226 </v>
      </c>
      <c r="Q75" t="str">
        <f t="shared" si="11"/>
        <v xml:space="preserve">73 3 -0.000908 -500 73 -74 </v>
      </c>
    </row>
    <row r="76" spans="1:17" x14ac:dyDescent="0.2">
      <c r="A76" s="140"/>
      <c r="B76" s="141" t="s">
        <v>166</v>
      </c>
      <c r="C76" s="142">
        <f>$C$13</f>
        <v>106</v>
      </c>
      <c r="D76" s="143">
        <f>1.575-SUM(D71:D75)</f>
        <v>1.3765399999999999</v>
      </c>
      <c r="E76" s="245">
        <f>$E$13</f>
        <v>3</v>
      </c>
      <c r="F76" s="237"/>
      <c r="G76" s="145"/>
      <c r="H76" s="266">
        <f>$H$13</f>
        <v>9.0799999999999995E-4</v>
      </c>
      <c r="I76" s="267">
        <f>$I$13</f>
        <v>9.0799999999999995E-4</v>
      </c>
      <c r="K76">
        <v>74</v>
      </c>
      <c r="L76" s="250" t="s">
        <v>171</v>
      </c>
      <c r="M76">
        <f t="shared" si="14"/>
        <v>3.8718800000000027</v>
      </c>
      <c r="O76" t="str">
        <f t="shared" si="10"/>
        <v xml:space="preserve">74  px  3.87188 </v>
      </c>
      <c r="Q76" t="str">
        <f t="shared" si="11"/>
        <v xml:space="preserve">74 4 -1.42 -500 74 -75 </v>
      </c>
    </row>
    <row r="77" spans="1:17" x14ac:dyDescent="0.2">
      <c r="A77" s="140"/>
      <c r="B77" s="141" t="s">
        <v>173</v>
      </c>
      <c r="C77" s="142">
        <f t="shared" si="12"/>
        <v>108</v>
      </c>
      <c r="D77" s="143">
        <v>2.5399999999999999E-2</v>
      </c>
      <c r="E77" s="245">
        <v>4</v>
      </c>
      <c r="F77" s="237"/>
      <c r="G77" s="145"/>
      <c r="H77" s="258">
        <f t="shared" si="0"/>
        <v>1.42</v>
      </c>
      <c r="I77" s="5">
        <f t="shared" si="13"/>
        <v>1.42</v>
      </c>
      <c r="K77">
        <v>75</v>
      </c>
      <c r="L77" s="250" t="s">
        <v>171</v>
      </c>
      <c r="M77">
        <f t="shared" si="14"/>
        <v>3.8744200000000029</v>
      </c>
      <c r="O77" t="str">
        <f t="shared" si="10"/>
        <v xml:space="preserve">75  px  3.87442 </v>
      </c>
      <c r="Q77" t="str">
        <f t="shared" si="11"/>
        <v xml:space="preserve">75 10 -1.11 -500 75 -76 </v>
      </c>
    </row>
    <row r="78" spans="1:17" x14ac:dyDescent="0.2">
      <c r="A78" s="140"/>
      <c r="B78" s="101" t="s">
        <v>198</v>
      </c>
      <c r="C78" s="97">
        <v>109</v>
      </c>
      <c r="D78" s="102">
        <f>$D$9</f>
        <v>4.3180000000000003E-2</v>
      </c>
      <c r="E78" s="241">
        <f>$E$9</f>
        <v>10</v>
      </c>
      <c r="F78" s="236"/>
      <c r="G78" s="99"/>
      <c r="H78" s="265">
        <f>$H$9</f>
        <v>1.1100000000000001</v>
      </c>
      <c r="I78" s="5">
        <f t="shared" si="13"/>
        <v>1.1100000000000001</v>
      </c>
      <c r="K78">
        <v>76</v>
      </c>
      <c r="L78" s="250" t="s">
        <v>171</v>
      </c>
      <c r="M78">
        <f t="shared" si="14"/>
        <v>3.8787380000000029</v>
      </c>
      <c r="O78" t="str">
        <f t="shared" si="10"/>
        <v xml:space="preserve">76  px  3.878738 </v>
      </c>
      <c r="Q78" t="str">
        <f t="shared" si="11"/>
        <v xml:space="preserve">76 5 -7.32142857142857 -500 76 -77 </v>
      </c>
    </row>
    <row r="79" spans="1:17" x14ac:dyDescent="0.2">
      <c r="A79" s="235" t="s">
        <v>182</v>
      </c>
      <c r="B79" s="164" t="s">
        <v>55</v>
      </c>
      <c r="C79" s="165">
        <f t="shared" si="12"/>
        <v>41</v>
      </c>
      <c r="D79" s="166">
        <v>3.0800000000000001E-2</v>
      </c>
      <c r="E79" s="248">
        <v>5</v>
      </c>
      <c r="F79" s="240">
        <v>22.55</v>
      </c>
      <c r="G79" s="167"/>
      <c r="H79" s="261">
        <f t="shared" si="0"/>
        <v>8.6020000000000003</v>
      </c>
      <c r="I79" s="5">
        <f>F79/(100*D79)</f>
        <v>7.3214285714285712</v>
      </c>
      <c r="K79">
        <v>77</v>
      </c>
      <c r="L79" s="250" t="s">
        <v>171</v>
      </c>
      <c r="M79">
        <f t="shared" si="14"/>
        <v>3.8818180000000031</v>
      </c>
      <c r="O79" t="str">
        <f t="shared" si="10"/>
        <v xml:space="preserve">77  px  3.881818 </v>
      </c>
      <c r="Q79" t="str">
        <f t="shared" si="11"/>
        <v xml:space="preserve">77 10 -1.11 -500 77 -78 </v>
      </c>
    </row>
    <row r="80" spans="1:17" s="11" customFormat="1" x14ac:dyDescent="0.2">
      <c r="A80" s="264"/>
      <c r="B80" s="101" t="s">
        <v>198</v>
      </c>
      <c r="C80" s="97">
        <v>109</v>
      </c>
      <c r="D80" s="102">
        <f>$D$9</f>
        <v>4.3180000000000003E-2</v>
      </c>
      <c r="E80" s="241">
        <f>$E$9</f>
        <v>10</v>
      </c>
      <c r="F80" s="236"/>
      <c r="G80" s="99"/>
      <c r="H80" s="265">
        <f>$H$9</f>
        <v>1.1100000000000001</v>
      </c>
      <c r="I80" s="5">
        <f t="shared" si="13"/>
        <v>1.1100000000000001</v>
      </c>
      <c r="K80">
        <v>78</v>
      </c>
      <c r="L80" s="250" t="s">
        <v>171</v>
      </c>
      <c r="M80">
        <f t="shared" si="14"/>
        <v>3.8861360000000031</v>
      </c>
      <c r="O80" t="str">
        <f t="shared" si="10"/>
        <v xml:space="preserve">78  px  3.886136 </v>
      </c>
      <c r="Q80" t="str">
        <f t="shared" si="11"/>
        <v xml:space="preserve">78 4 -1.42 -500 78 -79 </v>
      </c>
    </row>
    <row r="81" spans="1:17" x14ac:dyDescent="0.2">
      <c r="A81" s="140"/>
      <c r="B81" s="141" t="s">
        <v>173</v>
      </c>
      <c r="C81" s="142">
        <f t="shared" si="12"/>
        <v>108</v>
      </c>
      <c r="D81" s="143">
        <v>2.5399999999999999E-2</v>
      </c>
      <c r="E81" s="245">
        <v>4</v>
      </c>
      <c r="F81" s="237"/>
      <c r="G81" s="145"/>
      <c r="H81" s="258">
        <f t="shared" si="0"/>
        <v>1.42</v>
      </c>
      <c r="I81" s="5">
        <f t="shared" si="13"/>
        <v>1.42</v>
      </c>
      <c r="K81">
        <v>79</v>
      </c>
      <c r="L81" s="250" t="s">
        <v>171</v>
      </c>
      <c r="M81">
        <f t="shared" si="14"/>
        <v>3.8886760000000034</v>
      </c>
      <c r="O81" t="str">
        <f t="shared" si="10"/>
        <v xml:space="preserve">79  px  3.888676 </v>
      </c>
      <c r="Q81" t="str">
        <f t="shared" si="11"/>
        <v xml:space="preserve">79 3 -0.000908 -500 79 -80 </v>
      </c>
    </row>
    <row r="82" spans="1:17" x14ac:dyDescent="0.2">
      <c r="A82" s="140"/>
      <c r="B82" s="141" t="s">
        <v>166</v>
      </c>
      <c r="C82" s="142">
        <f>$C$13</f>
        <v>106</v>
      </c>
      <c r="D82" s="143">
        <f>1.575-SUM(D77:D81)</f>
        <v>1.4070399999999998</v>
      </c>
      <c r="E82" s="245">
        <f>$E$13</f>
        <v>3</v>
      </c>
      <c r="F82" s="237"/>
      <c r="G82" s="145"/>
      <c r="H82" s="266">
        <f>$H$13</f>
        <v>9.0799999999999995E-4</v>
      </c>
      <c r="I82" s="267">
        <f>$I$13</f>
        <v>9.0799999999999995E-4</v>
      </c>
      <c r="K82">
        <v>80</v>
      </c>
      <c r="L82" s="250" t="s">
        <v>171</v>
      </c>
      <c r="M82">
        <f t="shared" si="14"/>
        <v>4.0293800000000033</v>
      </c>
      <c r="O82" t="str">
        <f t="shared" si="10"/>
        <v xml:space="preserve">80  px  4.02938 </v>
      </c>
      <c r="Q82" t="str">
        <f t="shared" si="11"/>
        <v xml:space="preserve">80 1 -2.8 -500 80 -81 </v>
      </c>
    </row>
    <row r="83" spans="1:17" x14ac:dyDescent="0.2">
      <c r="A83" s="140"/>
      <c r="B83" s="170" t="s">
        <v>172</v>
      </c>
      <c r="C83" s="171">
        <f t="shared" si="12"/>
        <v>107</v>
      </c>
      <c r="D83" s="172">
        <v>3.47</v>
      </c>
      <c r="E83" s="243">
        <v>1</v>
      </c>
      <c r="F83" s="271"/>
      <c r="G83" s="174"/>
      <c r="H83" s="262">
        <f t="shared" si="0"/>
        <v>2.8</v>
      </c>
      <c r="I83" s="5">
        <f t="shared" si="13"/>
        <v>2.8</v>
      </c>
      <c r="K83">
        <v>81</v>
      </c>
      <c r="L83" s="250" t="s">
        <v>171</v>
      </c>
      <c r="M83">
        <f t="shared" si="14"/>
        <v>4.3763800000000037</v>
      </c>
      <c r="O83" t="str">
        <f t="shared" si="10"/>
        <v xml:space="preserve">81  px  4.37638 </v>
      </c>
      <c r="Q83" t="str">
        <f t="shared" si="11"/>
        <v xml:space="preserve">81 4 -1.42 -500 81 -82 </v>
      </c>
    </row>
    <row r="84" spans="1:17" x14ac:dyDescent="0.2">
      <c r="A84" s="140"/>
      <c r="B84" s="141" t="s">
        <v>173</v>
      </c>
      <c r="C84" s="142">
        <f t="shared" si="12"/>
        <v>108</v>
      </c>
      <c r="D84" s="143">
        <v>2.5399999999999999E-2</v>
      </c>
      <c r="E84" s="245">
        <v>4</v>
      </c>
      <c r="F84" s="237"/>
      <c r="G84" s="145"/>
      <c r="H84" s="258">
        <f t="shared" si="0"/>
        <v>1.42</v>
      </c>
      <c r="I84" s="5">
        <f t="shared" si="13"/>
        <v>1.42</v>
      </c>
      <c r="K84">
        <v>82</v>
      </c>
      <c r="L84" s="250" t="s">
        <v>171</v>
      </c>
      <c r="M84">
        <f t="shared" si="14"/>
        <v>4.3789200000000035</v>
      </c>
      <c r="O84" t="str">
        <f t="shared" si="10"/>
        <v xml:space="preserve">82  px  4.37892 </v>
      </c>
      <c r="Q84" t="str">
        <f t="shared" si="11"/>
        <v xml:space="preserve">82 10 -1.11 -500 82 -83 </v>
      </c>
    </row>
    <row r="85" spans="1:17" x14ac:dyDescent="0.2">
      <c r="A85" s="140"/>
      <c r="B85" s="101" t="s">
        <v>198</v>
      </c>
      <c r="C85" s="97">
        <v>109</v>
      </c>
      <c r="D85" s="102">
        <f>$D$9</f>
        <v>4.3180000000000003E-2</v>
      </c>
      <c r="E85" s="241">
        <f>$E$9</f>
        <v>10</v>
      </c>
      <c r="F85" s="236"/>
      <c r="G85" s="99"/>
      <c r="H85" s="265">
        <f>$H$9</f>
        <v>1.1100000000000001</v>
      </c>
      <c r="I85" s="5">
        <f t="shared" si="13"/>
        <v>1.1100000000000001</v>
      </c>
      <c r="K85">
        <v>83</v>
      </c>
      <c r="L85" s="250" t="s">
        <v>171</v>
      </c>
      <c r="M85">
        <f t="shared" si="14"/>
        <v>4.3832380000000031</v>
      </c>
      <c r="O85" t="str">
        <f t="shared" si="10"/>
        <v xml:space="preserve">83  px  4.383238 </v>
      </c>
      <c r="Q85" t="str">
        <f t="shared" si="11"/>
        <v xml:space="preserve">83 8 -2.44490566037736 -500 83 -84 </v>
      </c>
    </row>
    <row r="86" spans="1:17" x14ac:dyDescent="0.2">
      <c r="A86" s="235" t="s">
        <v>194</v>
      </c>
      <c r="B86" s="158" t="s">
        <v>26</v>
      </c>
      <c r="C86" s="159">
        <v>13</v>
      </c>
      <c r="D86" s="160">
        <v>2.6499999999999999E-2</v>
      </c>
      <c r="E86" s="246">
        <v>8</v>
      </c>
      <c r="F86" s="238">
        <v>6.4790000000000001</v>
      </c>
      <c r="G86" s="162"/>
      <c r="H86" s="259">
        <f t="shared" si="0"/>
        <v>2.698</v>
      </c>
      <c r="I86" s="5">
        <f>F86/(100*D86)</f>
        <v>2.4449056603773585</v>
      </c>
      <c r="K86">
        <v>84</v>
      </c>
      <c r="L86" s="250" t="s">
        <v>171</v>
      </c>
      <c r="M86">
        <f t="shared" si="14"/>
        <v>4.3858880000000031</v>
      </c>
      <c r="O86" t="str">
        <f t="shared" si="10"/>
        <v xml:space="preserve">84  px  4.385888 </v>
      </c>
      <c r="Q86" t="str">
        <f t="shared" si="11"/>
        <v xml:space="preserve">84 10 -1.11 -500 84 -85 </v>
      </c>
    </row>
    <row r="87" spans="1:17" s="11" customFormat="1" x14ac:dyDescent="0.2">
      <c r="A87" s="264"/>
      <c r="B87" s="101" t="s">
        <v>198</v>
      </c>
      <c r="C87" s="97">
        <v>109</v>
      </c>
      <c r="D87" s="102">
        <f>$D$9</f>
        <v>4.3180000000000003E-2</v>
      </c>
      <c r="E87" s="241">
        <f>$E$9</f>
        <v>10</v>
      </c>
      <c r="F87" s="236"/>
      <c r="G87" s="99"/>
      <c r="H87" s="265">
        <f>$H$9</f>
        <v>1.1100000000000001</v>
      </c>
      <c r="I87" s="5">
        <f t="shared" si="13"/>
        <v>1.1100000000000001</v>
      </c>
      <c r="K87">
        <v>85</v>
      </c>
      <c r="L87" s="250" t="s">
        <v>171</v>
      </c>
      <c r="M87">
        <f t="shared" si="14"/>
        <v>4.3902060000000027</v>
      </c>
      <c r="O87" t="str">
        <f t="shared" si="10"/>
        <v xml:space="preserve">85  px  4.390206 </v>
      </c>
      <c r="Q87" t="str">
        <f t="shared" si="11"/>
        <v xml:space="preserve">85 4 -1.42 -500 85 -86 </v>
      </c>
    </row>
    <row r="88" spans="1:17" x14ac:dyDescent="0.2">
      <c r="A88" s="140"/>
      <c r="B88" s="141" t="s">
        <v>173</v>
      </c>
      <c r="C88" s="142">
        <f t="shared" ref="C88:E103" si="15">VLOOKUP(B88,Element,2,FALSE)</f>
        <v>108</v>
      </c>
      <c r="D88" s="143">
        <v>2.5399999999999999E-2</v>
      </c>
      <c r="E88" s="245">
        <v>4</v>
      </c>
      <c r="F88" s="237"/>
      <c r="G88" s="145"/>
      <c r="H88" s="258">
        <f t="shared" si="0"/>
        <v>1.42</v>
      </c>
      <c r="I88" s="5">
        <f t="shared" si="13"/>
        <v>1.42</v>
      </c>
      <c r="K88">
        <v>86</v>
      </c>
      <c r="L88" s="250" t="s">
        <v>171</v>
      </c>
      <c r="M88">
        <f t="shared" si="14"/>
        <v>4.3927460000000025</v>
      </c>
      <c r="O88" t="str">
        <f t="shared" si="10"/>
        <v xml:space="preserve">86  px  4.392746 </v>
      </c>
      <c r="Q88" t="str">
        <f t="shared" si="11"/>
        <v xml:space="preserve">86 3 -0.000908 -500 86 -87 </v>
      </c>
    </row>
    <row r="89" spans="1:17" x14ac:dyDescent="0.2">
      <c r="A89" s="140"/>
      <c r="B89" s="141" t="s">
        <v>166</v>
      </c>
      <c r="C89" s="142">
        <f>$C$13</f>
        <v>106</v>
      </c>
      <c r="D89" s="143">
        <f>1.575-SUM(D84:D88)</f>
        <v>1.41134</v>
      </c>
      <c r="E89" s="245">
        <f>$E$13</f>
        <v>3</v>
      </c>
      <c r="F89" s="237"/>
      <c r="G89" s="145"/>
      <c r="H89" s="266">
        <f>$H$13</f>
        <v>9.0799999999999995E-4</v>
      </c>
      <c r="I89" s="267">
        <f>$I$13</f>
        <v>9.0799999999999995E-4</v>
      </c>
      <c r="K89">
        <v>87</v>
      </c>
      <c r="L89" s="250" t="s">
        <v>171</v>
      </c>
      <c r="M89">
        <f t="shared" si="14"/>
        <v>4.5338800000000026</v>
      </c>
      <c r="O89" t="str">
        <f t="shared" si="10"/>
        <v xml:space="preserve">87  px  4.53388 </v>
      </c>
      <c r="Q89" t="str">
        <f t="shared" si="11"/>
        <v xml:space="preserve">87 4 -1.42 -500 87 -88 </v>
      </c>
    </row>
    <row r="90" spans="1:17" x14ac:dyDescent="0.2">
      <c r="A90" s="140"/>
      <c r="B90" s="141" t="s">
        <v>173</v>
      </c>
      <c r="C90" s="142">
        <f>VLOOKUP(B90,Element,2,FALSE)</f>
        <v>108</v>
      </c>
      <c r="D90" s="143">
        <v>2.5399999999999999E-2</v>
      </c>
      <c r="E90" s="245">
        <v>4</v>
      </c>
      <c r="F90" s="237"/>
      <c r="G90" s="145"/>
      <c r="H90" s="258">
        <f>VLOOKUP(B90,Element,3,FALSE)</f>
        <v>1.42</v>
      </c>
      <c r="I90" s="5">
        <f t="shared" si="13"/>
        <v>1.42</v>
      </c>
      <c r="K90">
        <v>88</v>
      </c>
      <c r="L90" s="250" t="s">
        <v>171</v>
      </c>
      <c r="M90">
        <f t="shared" si="14"/>
        <v>4.5364200000000023</v>
      </c>
      <c r="O90" t="str">
        <f t="shared" si="10"/>
        <v xml:space="preserve">88  px  4.53642 </v>
      </c>
      <c r="Q90" t="str">
        <f t="shared" si="11"/>
        <v xml:space="preserve">88 10 -1.11 -500 88 -89 </v>
      </c>
    </row>
    <row r="91" spans="1:17" x14ac:dyDescent="0.2">
      <c r="A91" s="140"/>
      <c r="B91" s="101" t="s">
        <v>198</v>
      </c>
      <c r="C91" s="97">
        <v>109</v>
      </c>
      <c r="D91" s="102">
        <f>$D$9</f>
        <v>4.3180000000000003E-2</v>
      </c>
      <c r="E91" s="241">
        <f>$E$9</f>
        <v>10</v>
      </c>
      <c r="F91" s="236"/>
      <c r="G91" s="99"/>
      <c r="H91" s="265">
        <f>$H$9</f>
        <v>1.1100000000000001</v>
      </c>
      <c r="I91" s="5">
        <f t="shared" si="13"/>
        <v>1.1100000000000001</v>
      </c>
      <c r="K91">
        <v>89</v>
      </c>
      <c r="L91" s="250" t="s">
        <v>171</v>
      </c>
      <c r="M91">
        <f t="shared" si="14"/>
        <v>4.5407380000000019</v>
      </c>
      <c r="O91" t="str">
        <f t="shared" si="10"/>
        <v xml:space="preserve">89  px  4.540738 </v>
      </c>
      <c r="Q91" t="str">
        <f t="shared" si="11"/>
        <v xml:space="preserve">89 9 -8.71089430894309 -500 89 -90 </v>
      </c>
    </row>
    <row r="92" spans="1:17" x14ac:dyDescent="0.2">
      <c r="A92" s="235" t="s">
        <v>185</v>
      </c>
      <c r="B92" s="214" t="s">
        <v>42</v>
      </c>
      <c r="C92" s="215">
        <f>VLOOKUP(B92,Element,2,FALSE)</f>
        <v>29</v>
      </c>
      <c r="D92" s="216">
        <v>6.1499999999999999E-2</v>
      </c>
      <c r="E92" s="247">
        <v>9</v>
      </c>
      <c r="F92" s="239">
        <v>53.572000000000003</v>
      </c>
      <c r="G92" s="217"/>
      <c r="H92" s="260">
        <f>VLOOKUP(B92,Element,3,FALSE)</f>
        <v>8.9489999999999998</v>
      </c>
      <c r="I92" s="5">
        <f>F92/(100*D92)</f>
        <v>8.7108943089430895</v>
      </c>
      <c r="K92">
        <v>90</v>
      </c>
      <c r="L92" s="250" t="s">
        <v>171</v>
      </c>
      <c r="M92">
        <f t="shared" si="14"/>
        <v>4.5468880000000018</v>
      </c>
      <c r="O92" t="str">
        <f t="shared" si="10"/>
        <v xml:space="preserve">90  px  4.546888 </v>
      </c>
      <c r="Q92" t="str">
        <f t="shared" si="11"/>
        <v xml:space="preserve">90 10 -1.11 -500 90 -91 </v>
      </c>
    </row>
    <row r="93" spans="1:17" s="11" customFormat="1" x14ac:dyDescent="0.2">
      <c r="A93" s="264"/>
      <c r="B93" s="101" t="s">
        <v>198</v>
      </c>
      <c r="C93" s="97">
        <v>109</v>
      </c>
      <c r="D93" s="102">
        <f>$D$9</f>
        <v>4.3180000000000003E-2</v>
      </c>
      <c r="E93" s="241">
        <f>$E$9</f>
        <v>10</v>
      </c>
      <c r="F93" s="236"/>
      <c r="G93" s="99"/>
      <c r="H93" s="265">
        <f>$H$9</f>
        <v>1.1100000000000001</v>
      </c>
      <c r="I93" s="5">
        <f t="shared" si="13"/>
        <v>1.1100000000000001</v>
      </c>
      <c r="K93">
        <v>91</v>
      </c>
      <c r="L93" s="250" t="s">
        <v>171</v>
      </c>
      <c r="M93">
        <f t="shared" si="14"/>
        <v>4.5512060000000014</v>
      </c>
      <c r="O93" t="str">
        <f t="shared" si="10"/>
        <v xml:space="preserve">91  px  4.551206 </v>
      </c>
      <c r="Q93" t="str">
        <f t="shared" si="11"/>
        <v xml:space="preserve">91 4 -1.42 -500 91 -92 </v>
      </c>
    </row>
    <row r="94" spans="1:17" x14ac:dyDescent="0.2">
      <c r="A94" s="140"/>
      <c r="B94" s="141" t="s">
        <v>173</v>
      </c>
      <c r="C94" s="142">
        <f>VLOOKUP(B94,Element,2,FALSE)</f>
        <v>108</v>
      </c>
      <c r="D94" s="143">
        <v>2.5399999999999999E-2</v>
      </c>
      <c r="E94" s="245">
        <v>4</v>
      </c>
      <c r="F94" s="237"/>
      <c r="G94" s="145"/>
      <c r="H94" s="258">
        <f>VLOOKUP(B94,Element,3,FALSE)</f>
        <v>1.42</v>
      </c>
      <c r="I94" s="5">
        <f t="shared" si="13"/>
        <v>1.42</v>
      </c>
      <c r="K94">
        <v>92</v>
      </c>
      <c r="L94" s="250" t="s">
        <v>171</v>
      </c>
      <c r="M94">
        <f t="shared" si="14"/>
        <v>4.5537460000000012</v>
      </c>
      <c r="O94" t="str">
        <f t="shared" si="10"/>
        <v xml:space="preserve">92  px  4.553746 </v>
      </c>
      <c r="Q94" t="str">
        <f t="shared" si="11"/>
        <v xml:space="preserve">92 3 -0.000908 -500 92 -93 </v>
      </c>
    </row>
    <row r="95" spans="1:17" x14ac:dyDescent="0.2">
      <c r="A95" s="140"/>
      <c r="B95" s="141" t="s">
        <v>166</v>
      </c>
      <c r="C95" s="142">
        <f>$C$13</f>
        <v>106</v>
      </c>
      <c r="D95" s="143">
        <f>1.575-SUM(D90:D94)</f>
        <v>1.3763399999999999</v>
      </c>
      <c r="E95" s="245">
        <f>$E$13</f>
        <v>3</v>
      </c>
      <c r="F95" s="237"/>
      <c r="G95" s="145"/>
      <c r="H95" s="266">
        <f>$H$13</f>
        <v>9.0799999999999995E-4</v>
      </c>
      <c r="I95" s="267">
        <f>$I$13</f>
        <v>9.0799999999999995E-4</v>
      </c>
      <c r="K95">
        <v>93</v>
      </c>
      <c r="L95" s="250" t="s">
        <v>171</v>
      </c>
      <c r="M95">
        <f t="shared" si="14"/>
        <v>4.6913800000000014</v>
      </c>
      <c r="O95" t="str">
        <f t="shared" si="10"/>
        <v xml:space="preserve">93  px  4.69138 </v>
      </c>
      <c r="Q95" t="str">
        <f t="shared" si="11"/>
        <v xml:space="preserve">93 4 -1.42 -500 93 -94 </v>
      </c>
    </row>
    <row r="96" spans="1:17" x14ac:dyDescent="0.2">
      <c r="A96" s="140"/>
      <c r="B96" s="141" t="s">
        <v>173</v>
      </c>
      <c r="C96" s="142">
        <f t="shared" si="15"/>
        <v>108</v>
      </c>
      <c r="D96" s="143">
        <v>2.5399999999999999E-2</v>
      </c>
      <c r="E96" s="245">
        <v>4</v>
      </c>
      <c r="F96" s="237"/>
      <c r="G96" s="145"/>
      <c r="H96" s="258">
        <f t="shared" si="0"/>
        <v>1.42</v>
      </c>
      <c r="I96" s="5">
        <f t="shared" si="13"/>
        <v>1.42</v>
      </c>
      <c r="K96">
        <v>94</v>
      </c>
      <c r="L96" s="250" t="s">
        <v>171</v>
      </c>
      <c r="M96">
        <f t="shared" si="14"/>
        <v>4.6939200000000012</v>
      </c>
      <c r="O96" t="str">
        <f t="shared" si="10"/>
        <v xml:space="preserve">94  px  4.69392 </v>
      </c>
      <c r="Q96" t="str">
        <f t="shared" si="11"/>
        <v xml:space="preserve">94 10 -1.11 -500 94 -95 </v>
      </c>
    </row>
    <row r="97" spans="1:17" x14ac:dyDescent="0.2">
      <c r="A97" s="140"/>
      <c r="B97" s="101" t="s">
        <v>198</v>
      </c>
      <c r="C97" s="97">
        <v>109</v>
      </c>
      <c r="D97" s="102">
        <f>$D$9</f>
        <v>4.3180000000000003E-2</v>
      </c>
      <c r="E97" s="241">
        <f>$E$9</f>
        <v>10</v>
      </c>
      <c r="F97" s="236"/>
      <c r="G97" s="99"/>
      <c r="H97" s="265">
        <f>$H$9</f>
        <v>1.1100000000000001</v>
      </c>
      <c r="I97" s="5">
        <f t="shared" si="13"/>
        <v>1.1100000000000001</v>
      </c>
      <c r="K97">
        <v>95</v>
      </c>
      <c r="L97" s="250" t="s">
        <v>171</v>
      </c>
      <c r="M97">
        <f t="shared" si="14"/>
        <v>4.6982380000000008</v>
      </c>
      <c r="O97" t="str">
        <f t="shared" si="10"/>
        <v xml:space="preserve">95  px  4.698238 </v>
      </c>
      <c r="Q97" t="str">
        <f t="shared" si="11"/>
        <v xml:space="preserve">95 5 -7.17857142857143 -500 95 -96 </v>
      </c>
    </row>
    <row r="98" spans="1:17" x14ac:dyDescent="0.2">
      <c r="A98" s="235" t="s">
        <v>186</v>
      </c>
      <c r="B98" s="164" t="s">
        <v>55</v>
      </c>
      <c r="C98" s="165">
        <f t="shared" si="15"/>
        <v>41</v>
      </c>
      <c r="D98" s="166">
        <v>3.0800000000000001E-2</v>
      </c>
      <c r="E98" s="248">
        <v>5</v>
      </c>
      <c r="F98" s="240">
        <v>22.11</v>
      </c>
      <c r="G98" s="169"/>
      <c r="H98" s="261">
        <f t="shared" si="0"/>
        <v>8.6020000000000003</v>
      </c>
      <c r="I98" s="5">
        <f>F98/(100*D98)</f>
        <v>7.1785714285714279</v>
      </c>
      <c r="K98">
        <v>96</v>
      </c>
      <c r="L98" s="250" t="s">
        <v>171</v>
      </c>
      <c r="M98">
        <f t="shared" si="14"/>
        <v>4.7013180000000006</v>
      </c>
      <c r="O98" t="str">
        <f t="shared" si="10"/>
        <v xml:space="preserve">96  px  4.701318 </v>
      </c>
      <c r="Q98" t="str">
        <f t="shared" si="11"/>
        <v xml:space="preserve">96 10 -1.11 -500 96 -97 </v>
      </c>
    </row>
    <row r="99" spans="1:17" s="11" customFormat="1" x14ac:dyDescent="0.2">
      <c r="A99" s="264"/>
      <c r="B99" s="101" t="s">
        <v>198</v>
      </c>
      <c r="C99" s="97">
        <v>109</v>
      </c>
      <c r="D99" s="102">
        <f>$D$9</f>
        <v>4.3180000000000003E-2</v>
      </c>
      <c r="E99" s="241">
        <f>$E$9</f>
        <v>10</v>
      </c>
      <c r="F99" s="236"/>
      <c r="G99" s="99"/>
      <c r="H99" s="265">
        <f>$H$9</f>
        <v>1.1100000000000001</v>
      </c>
      <c r="I99" s="5">
        <f t="shared" si="13"/>
        <v>1.1100000000000001</v>
      </c>
      <c r="K99">
        <v>97</v>
      </c>
      <c r="L99" s="250" t="s">
        <v>171</v>
      </c>
      <c r="M99">
        <f t="shared" si="14"/>
        <v>4.7056360000000002</v>
      </c>
      <c r="O99" t="str">
        <f t="shared" si="10"/>
        <v xml:space="preserve">97  px  4.705636 </v>
      </c>
      <c r="Q99" t="str">
        <f t="shared" si="11"/>
        <v xml:space="preserve">97 4 -1.42 -500 97 -98 </v>
      </c>
    </row>
    <row r="100" spans="1:17" x14ac:dyDescent="0.2">
      <c r="A100" s="140"/>
      <c r="B100" s="141" t="s">
        <v>173</v>
      </c>
      <c r="C100" s="142">
        <f t="shared" si="15"/>
        <v>108</v>
      </c>
      <c r="D100" s="143">
        <v>2.5399999999999999E-2</v>
      </c>
      <c r="E100" s="245">
        <v>4</v>
      </c>
      <c r="F100" s="253"/>
      <c r="G100" s="145"/>
      <c r="H100" s="263">
        <f t="shared" si="0"/>
        <v>1.42</v>
      </c>
      <c r="I100" s="5">
        <f t="shared" si="13"/>
        <v>1.42</v>
      </c>
      <c r="K100">
        <v>98</v>
      </c>
      <c r="L100" s="250" t="s">
        <v>171</v>
      </c>
      <c r="M100">
        <f t="shared" si="14"/>
        <v>4.7081759999999999</v>
      </c>
      <c r="O100" t="str">
        <f t="shared" si="10"/>
        <v xml:space="preserve">98  px  4.708176 </v>
      </c>
      <c r="Q100" t="str">
        <f t="shared" si="11"/>
        <v xml:space="preserve">98 3 -0.000908 -500 98 -99 </v>
      </c>
    </row>
    <row r="101" spans="1:17" x14ac:dyDescent="0.2">
      <c r="A101" s="140"/>
      <c r="B101" s="141" t="s">
        <v>166</v>
      </c>
      <c r="C101" s="142">
        <f>$C$13</f>
        <v>106</v>
      </c>
      <c r="D101" s="143">
        <f>1.575-SUM(D96:D100)</f>
        <v>1.4070399999999998</v>
      </c>
      <c r="E101" s="245">
        <f>$E$13</f>
        <v>3</v>
      </c>
      <c r="F101" s="237"/>
      <c r="G101" s="145"/>
      <c r="H101" s="266">
        <f>$H$13</f>
        <v>9.0799999999999995E-4</v>
      </c>
      <c r="I101" s="267">
        <f>$I$13</f>
        <v>9.0799999999999995E-4</v>
      </c>
      <c r="K101">
        <v>99</v>
      </c>
      <c r="L101" s="250" t="s">
        <v>171</v>
      </c>
      <c r="M101">
        <f t="shared" si="14"/>
        <v>4.8488800000000003</v>
      </c>
      <c r="O101" t="str">
        <f t="shared" si="10"/>
        <v xml:space="preserve">99  px  4.84888 </v>
      </c>
      <c r="Q101" t="str">
        <f t="shared" si="11"/>
        <v xml:space="preserve">99 1 -2.8 -500 99 -100 </v>
      </c>
    </row>
    <row r="102" spans="1:17" x14ac:dyDescent="0.2">
      <c r="A102" s="140"/>
      <c r="B102" s="170" t="s">
        <v>172</v>
      </c>
      <c r="C102" s="171">
        <f t="shared" si="15"/>
        <v>107</v>
      </c>
      <c r="D102" s="172">
        <v>3.46</v>
      </c>
      <c r="E102" s="243">
        <v>1</v>
      </c>
      <c r="F102" s="271"/>
      <c r="G102" s="174"/>
      <c r="H102" s="262">
        <f t="shared" si="0"/>
        <v>2.8</v>
      </c>
      <c r="I102" s="5">
        <f t="shared" si="13"/>
        <v>2.8</v>
      </c>
      <c r="K102">
        <v>100</v>
      </c>
      <c r="L102" s="250" t="s">
        <v>171</v>
      </c>
      <c r="M102">
        <f t="shared" si="14"/>
        <v>5.1948800000000004</v>
      </c>
      <c r="O102" t="str">
        <f t="shared" si="10"/>
        <v xml:space="preserve">100  px  5.19488 </v>
      </c>
      <c r="Q102" t="str">
        <f t="shared" si="11"/>
        <v xml:space="preserve">100 4 -1.42 -500 100 -101 </v>
      </c>
    </row>
    <row r="103" spans="1:17" x14ac:dyDescent="0.2">
      <c r="A103" s="140"/>
      <c r="B103" s="141" t="s">
        <v>173</v>
      </c>
      <c r="C103" s="142">
        <f t="shared" si="15"/>
        <v>108</v>
      </c>
      <c r="D103" s="143">
        <v>2.5399999999999999E-2</v>
      </c>
      <c r="E103" s="245">
        <v>4</v>
      </c>
      <c r="F103" s="237"/>
      <c r="G103" s="145"/>
      <c r="H103" s="258">
        <f t="shared" si="0"/>
        <v>1.42</v>
      </c>
      <c r="I103" s="5">
        <f t="shared" si="13"/>
        <v>1.42</v>
      </c>
      <c r="K103">
        <v>101</v>
      </c>
      <c r="L103" s="250" t="s">
        <v>171</v>
      </c>
      <c r="M103">
        <f t="shared" si="14"/>
        <v>5.1974200000000002</v>
      </c>
      <c r="O103" t="str">
        <f t="shared" si="10"/>
        <v xml:space="preserve">101  px  5.19742 </v>
      </c>
      <c r="Q103" t="str">
        <f t="shared" si="11"/>
        <v xml:space="preserve">101 10 -1.11 -500 101 -102 </v>
      </c>
    </row>
    <row r="104" spans="1:17" x14ac:dyDescent="0.2">
      <c r="A104" s="140"/>
      <c r="B104" s="101" t="s">
        <v>198</v>
      </c>
      <c r="C104" s="97">
        <v>109</v>
      </c>
      <c r="D104" s="102">
        <f>$D$9</f>
        <v>4.3180000000000003E-2</v>
      </c>
      <c r="E104" s="241">
        <f>$E$9</f>
        <v>10</v>
      </c>
      <c r="F104" s="236"/>
      <c r="G104" s="99"/>
      <c r="H104" s="265">
        <f>$H$9</f>
        <v>1.1100000000000001</v>
      </c>
      <c r="I104" s="5">
        <f t="shared" si="13"/>
        <v>1.1100000000000001</v>
      </c>
      <c r="K104">
        <v>102</v>
      </c>
      <c r="L104" s="250" t="s">
        <v>171</v>
      </c>
      <c r="M104">
        <f t="shared" si="14"/>
        <v>5.2017379999999998</v>
      </c>
      <c r="O104" t="str">
        <f t="shared" si="10"/>
        <v xml:space="preserve">102  px  5.201738 </v>
      </c>
      <c r="Q104" t="str">
        <f t="shared" si="11"/>
        <v xml:space="preserve">102 8 -2.46197718631179 -500 102 -103 </v>
      </c>
    </row>
    <row r="105" spans="1:17" x14ac:dyDescent="0.2">
      <c r="A105" s="235" t="s">
        <v>195</v>
      </c>
      <c r="B105" s="158" t="s">
        <v>26</v>
      </c>
      <c r="C105" s="159">
        <v>13</v>
      </c>
      <c r="D105" s="160">
        <v>2.63E-2</v>
      </c>
      <c r="E105" s="246">
        <v>8</v>
      </c>
      <c r="F105" s="238">
        <v>6.4749999999999996</v>
      </c>
      <c r="G105" s="162"/>
      <c r="H105" s="259">
        <f t="shared" si="0"/>
        <v>2.698</v>
      </c>
      <c r="I105" s="5">
        <f>F105/(100*D105)</f>
        <v>2.461977186311787</v>
      </c>
      <c r="K105">
        <v>103</v>
      </c>
      <c r="L105" s="250" t="s">
        <v>171</v>
      </c>
      <c r="M105">
        <f t="shared" si="14"/>
        <v>5.2043679999999997</v>
      </c>
      <c r="O105" t="str">
        <f t="shared" si="10"/>
        <v xml:space="preserve">103  px  5.204368 </v>
      </c>
      <c r="Q105" t="str">
        <f t="shared" si="11"/>
        <v xml:space="preserve">103 10 -1.11 -500 103 -104 </v>
      </c>
    </row>
    <row r="106" spans="1:17" s="11" customFormat="1" x14ac:dyDescent="0.2">
      <c r="A106" s="264"/>
      <c r="B106" s="101" t="s">
        <v>198</v>
      </c>
      <c r="C106" s="97">
        <v>109</v>
      </c>
      <c r="D106" s="102">
        <f>$D$9</f>
        <v>4.3180000000000003E-2</v>
      </c>
      <c r="E106" s="241">
        <f>$E$9</f>
        <v>10</v>
      </c>
      <c r="F106" s="236"/>
      <c r="G106" s="99"/>
      <c r="H106" s="265">
        <f>$H$9</f>
        <v>1.1100000000000001</v>
      </c>
      <c r="I106" s="5">
        <f t="shared" si="13"/>
        <v>1.1100000000000001</v>
      </c>
      <c r="K106">
        <v>104</v>
      </c>
      <c r="L106" s="250" t="s">
        <v>171</v>
      </c>
      <c r="M106">
        <f t="shared" si="14"/>
        <v>5.2086859999999993</v>
      </c>
      <c r="O106" t="str">
        <f t="shared" si="10"/>
        <v xml:space="preserve">104  px  5.208686 </v>
      </c>
      <c r="Q106" t="str">
        <f t="shared" si="11"/>
        <v xml:space="preserve">104 4 -1.42 -500 104 -105 </v>
      </c>
    </row>
    <row r="107" spans="1:17" x14ac:dyDescent="0.2">
      <c r="A107" s="140"/>
      <c r="B107" s="141" t="s">
        <v>173</v>
      </c>
      <c r="C107" s="142">
        <f t="shared" ref="C107:E119" si="16">VLOOKUP(B107,Element,2,FALSE)</f>
        <v>108</v>
      </c>
      <c r="D107" s="143">
        <v>2.5399999999999999E-2</v>
      </c>
      <c r="E107" s="245">
        <v>4</v>
      </c>
      <c r="F107" s="237"/>
      <c r="G107" s="145"/>
      <c r="H107" s="258">
        <f t="shared" si="0"/>
        <v>1.42</v>
      </c>
      <c r="I107" s="5">
        <f t="shared" si="13"/>
        <v>1.42</v>
      </c>
      <c r="K107">
        <v>105</v>
      </c>
      <c r="L107" s="250" t="s">
        <v>171</v>
      </c>
      <c r="M107">
        <f t="shared" si="14"/>
        <v>5.211225999999999</v>
      </c>
      <c r="O107" t="str">
        <f t="shared" si="10"/>
        <v xml:space="preserve">105  px  5.211226 </v>
      </c>
      <c r="Q107" t="str">
        <f t="shared" si="11"/>
        <v xml:space="preserve">105 3 -0.000908 -500 105 -106 </v>
      </c>
    </row>
    <row r="108" spans="1:17" x14ac:dyDescent="0.2">
      <c r="A108" s="140"/>
      <c r="B108" s="141" t="s">
        <v>166</v>
      </c>
      <c r="C108" s="142">
        <f>$C$13</f>
        <v>106</v>
      </c>
      <c r="D108" s="143">
        <f>1.575-SUM(D103:D107)</f>
        <v>1.41154</v>
      </c>
      <c r="E108" s="245">
        <f>$E$13</f>
        <v>3</v>
      </c>
      <c r="F108" s="237"/>
      <c r="G108" s="145"/>
      <c r="H108" s="266">
        <f>$H$13</f>
        <v>9.0799999999999995E-4</v>
      </c>
      <c r="I108" s="267">
        <f>$I$13</f>
        <v>9.0799999999999995E-4</v>
      </c>
      <c r="K108">
        <v>106</v>
      </c>
      <c r="L108" s="250" t="s">
        <v>171</v>
      </c>
      <c r="M108">
        <f t="shared" si="14"/>
        <v>5.3523799999999992</v>
      </c>
      <c r="O108" t="str">
        <f t="shared" si="10"/>
        <v xml:space="preserve">106  px  5.35238 </v>
      </c>
      <c r="Q108" t="str">
        <f t="shared" si="11"/>
        <v xml:space="preserve">106 4 -1.42 -500 106 -107 </v>
      </c>
    </row>
    <row r="109" spans="1:17" x14ac:dyDescent="0.2">
      <c r="A109" s="140"/>
      <c r="B109" s="141" t="s">
        <v>173</v>
      </c>
      <c r="C109" s="142">
        <f>VLOOKUP(B109,Element,2,FALSE)</f>
        <v>108</v>
      </c>
      <c r="D109" s="143">
        <v>2.5399999999999999E-2</v>
      </c>
      <c r="E109" s="245">
        <v>4</v>
      </c>
      <c r="F109" s="237"/>
      <c r="G109" s="145"/>
      <c r="H109" s="258">
        <f t="shared" si="0"/>
        <v>1.42</v>
      </c>
      <c r="I109" s="5">
        <f t="shared" si="13"/>
        <v>1.42</v>
      </c>
      <c r="K109">
        <v>107</v>
      </c>
      <c r="L109" s="250" t="s">
        <v>171</v>
      </c>
      <c r="M109">
        <f t="shared" si="14"/>
        <v>5.354919999999999</v>
      </c>
      <c r="O109" t="str">
        <f t="shared" si="10"/>
        <v xml:space="preserve">107  px  5.35492 </v>
      </c>
      <c r="Q109" t="str">
        <f t="shared" si="11"/>
        <v xml:space="preserve">107 10 -1.11 -500 107 -108 </v>
      </c>
    </row>
    <row r="110" spans="1:17" x14ac:dyDescent="0.2">
      <c r="A110" s="140"/>
      <c r="B110" s="101" t="s">
        <v>198</v>
      </c>
      <c r="C110" s="97">
        <v>109</v>
      </c>
      <c r="D110" s="102">
        <f>$D$9</f>
        <v>4.3180000000000003E-2</v>
      </c>
      <c r="E110" s="241">
        <f>$E$9</f>
        <v>10</v>
      </c>
      <c r="F110" s="236"/>
      <c r="G110" s="99"/>
      <c r="H110" s="265">
        <f>$H$9</f>
        <v>1.1100000000000001</v>
      </c>
      <c r="I110" s="5">
        <f t="shared" si="13"/>
        <v>1.1100000000000001</v>
      </c>
      <c r="K110">
        <v>108</v>
      </c>
      <c r="L110" s="250" t="s">
        <v>171</v>
      </c>
      <c r="M110">
        <f t="shared" si="14"/>
        <v>5.3592379999999986</v>
      </c>
      <c r="O110" t="str">
        <f t="shared" si="10"/>
        <v xml:space="preserve">108  px  5.359238 </v>
      </c>
      <c r="Q110" t="str">
        <f t="shared" si="11"/>
        <v xml:space="preserve">108 9 -8.68322580645161 -500 108 -109 </v>
      </c>
    </row>
    <row r="111" spans="1:17" x14ac:dyDescent="0.2">
      <c r="A111" s="235" t="s">
        <v>196</v>
      </c>
      <c r="B111" s="214" t="s">
        <v>42</v>
      </c>
      <c r="C111" s="215">
        <f>VLOOKUP(B111,Element,2,FALSE)</f>
        <v>29</v>
      </c>
      <c r="D111" s="216">
        <v>6.2E-2</v>
      </c>
      <c r="E111" s="247">
        <v>9</v>
      </c>
      <c r="F111" s="239">
        <v>53.835999999999999</v>
      </c>
      <c r="G111" s="217"/>
      <c r="H111" s="260">
        <f t="shared" si="0"/>
        <v>8.9489999999999998</v>
      </c>
      <c r="I111" s="5">
        <f>F111/(100*D111)</f>
        <v>8.6832258064516132</v>
      </c>
      <c r="K111">
        <v>109</v>
      </c>
      <c r="L111" s="250" t="s">
        <v>171</v>
      </c>
      <c r="M111">
        <f t="shared" si="14"/>
        <v>5.3654379999999984</v>
      </c>
      <c r="O111" t="str">
        <f t="shared" si="10"/>
        <v xml:space="preserve">109  px  5.365438 </v>
      </c>
      <c r="Q111" t="str">
        <f t="shared" si="11"/>
        <v xml:space="preserve">109 10 -1.11 -500 109 -110 </v>
      </c>
    </row>
    <row r="112" spans="1:17" s="11" customFormat="1" x14ac:dyDescent="0.2">
      <c r="A112" s="264"/>
      <c r="B112" s="101" t="s">
        <v>198</v>
      </c>
      <c r="C112" s="97">
        <v>109</v>
      </c>
      <c r="D112" s="102">
        <f>$D$9</f>
        <v>4.3180000000000003E-2</v>
      </c>
      <c r="E112" s="241">
        <f>$E$9</f>
        <v>10</v>
      </c>
      <c r="F112" s="236"/>
      <c r="G112" s="99"/>
      <c r="H112" s="265">
        <f>$H$9</f>
        <v>1.1100000000000001</v>
      </c>
      <c r="I112" s="5">
        <f t="shared" si="13"/>
        <v>1.1100000000000001</v>
      </c>
      <c r="K112">
        <v>110</v>
      </c>
      <c r="L112" s="250" t="s">
        <v>171</v>
      </c>
      <c r="M112">
        <f t="shared" si="14"/>
        <v>5.369755999999998</v>
      </c>
      <c r="O112" t="str">
        <f t="shared" si="10"/>
        <v xml:space="preserve">110  px  5.369756 </v>
      </c>
      <c r="Q112" t="str">
        <f t="shared" si="11"/>
        <v xml:space="preserve">110 4 -1.42 -500 110 -111 </v>
      </c>
    </row>
    <row r="113" spans="1:17" x14ac:dyDescent="0.2">
      <c r="A113" s="140"/>
      <c r="B113" s="141" t="s">
        <v>173</v>
      </c>
      <c r="C113" s="142">
        <f>VLOOKUP(B113,Element,2,FALSE)</f>
        <v>108</v>
      </c>
      <c r="D113" s="143">
        <v>2.5399999999999999E-2</v>
      </c>
      <c r="E113" s="245">
        <v>4</v>
      </c>
      <c r="F113" s="237"/>
      <c r="G113" s="145"/>
      <c r="H113" s="258">
        <f t="shared" si="0"/>
        <v>1.42</v>
      </c>
      <c r="I113" s="5">
        <f t="shared" si="13"/>
        <v>1.42</v>
      </c>
      <c r="K113">
        <v>111</v>
      </c>
      <c r="L113" s="250" t="s">
        <v>171</v>
      </c>
      <c r="M113">
        <f t="shared" si="14"/>
        <v>5.3722959999999977</v>
      </c>
      <c r="O113" t="str">
        <f t="shared" si="10"/>
        <v xml:space="preserve">111  px  5.372296 </v>
      </c>
      <c r="Q113" t="str">
        <f t="shared" si="11"/>
        <v xml:space="preserve">111 3 -0.000908 -500 111 -112 </v>
      </c>
    </row>
    <row r="114" spans="1:17" x14ac:dyDescent="0.2">
      <c r="A114" s="140"/>
      <c r="B114" s="141" t="s">
        <v>166</v>
      </c>
      <c r="C114" s="142">
        <f>$C$13</f>
        <v>106</v>
      </c>
      <c r="D114" s="143">
        <f>1.575-SUM(D109:D113)</f>
        <v>1.37584</v>
      </c>
      <c r="E114" s="245">
        <f>$E$13</f>
        <v>3</v>
      </c>
      <c r="F114" s="237"/>
      <c r="G114" s="145"/>
      <c r="H114" s="266">
        <f>$H$13</f>
        <v>9.0799999999999995E-4</v>
      </c>
      <c r="I114" s="267">
        <f>$I$13</f>
        <v>9.0799999999999995E-4</v>
      </c>
      <c r="K114">
        <v>112</v>
      </c>
      <c r="L114" s="250" t="s">
        <v>171</v>
      </c>
      <c r="M114">
        <f t="shared" si="14"/>
        <v>5.5098799999999981</v>
      </c>
      <c r="O114" t="str">
        <f t="shared" si="10"/>
        <v xml:space="preserve">112  px  5.50988 </v>
      </c>
      <c r="Q114" t="str">
        <f t="shared" si="11"/>
        <v xml:space="preserve">112 4 -1.42 -500 112 -113 </v>
      </c>
    </row>
    <row r="115" spans="1:17" x14ac:dyDescent="0.2">
      <c r="A115" s="140"/>
      <c r="B115" s="141" t="s">
        <v>173</v>
      </c>
      <c r="C115" s="142">
        <f t="shared" si="16"/>
        <v>108</v>
      </c>
      <c r="D115" s="143">
        <v>2.5399999999999999E-2</v>
      </c>
      <c r="E115" s="245">
        <v>4</v>
      </c>
      <c r="F115" s="237"/>
      <c r="G115" s="145"/>
      <c r="H115" s="258">
        <f t="shared" si="0"/>
        <v>1.42</v>
      </c>
      <c r="I115" s="5">
        <f t="shared" si="13"/>
        <v>1.42</v>
      </c>
      <c r="K115">
        <v>113</v>
      </c>
      <c r="L115" s="250" t="s">
        <v>171</v>
      </c>
      <c r="M115">
        <f t="shared" si="14"/>
        <v>5.5124199999999979</v>
      </c>
      <c r="O115" t="str">
        <f t="shared" si="10"/>
        <v xml:space="preserve">113  px  5.51242 </v>
      </c>
      <c r="Q115" t="str">
        <f t="shared" si="11"/>
        <v xml:space="preserve">113 10 -1.11 -500 113 -114 </v>
      </c>
    </row>
    <row r="116" spans="1:17" x14ac:dyDescent="0.2">
      <c r="A116" s="140"/>
      <c r="B116" s="101" t="s">
        <v>198</v>
      </c>
      <c r="C116" s="97">
        <v>109</v>
      </c>
      <c r="D116" s="102">
        <f>$D$9</f>
        <v>4.3180000000000003E-2</v>
      </c>
      <c r="E116" s="241">
        <f>$E$9</f>
        <v>10</v>
      </c>
      <c r="F116" s="236"/>
      <c r="G116" s="99"/>
      <c r="H116" s="265">
        <f>$H$9</f>
        <v>1.1100000000000001</v>
      </c>
      <c r="I116" s="5">
        <f t="shared" si="13"/>
        <v>1.1100000000000001</v>
      </c>
      <c r="K116">
        <v>114</v>
      </c>
      <c r="L116" s="250" t="s">
        <v>171</v>
      </c>
      <c r="M116">
        <f t="shared" si="14"/>
        <v>5.5167379999999975</v>
      </c>
      <c r="O116" t="str">
        <f t="shared" si="10"/>
        <v xml:space="preserve">114  px  5.516738 </v>
      </c>
      <c r="Q116" t="str">
        <f t="shared" si="11"/>
        <v xml:space="preserve">114 5 -7.06709265175719 -500 114 -115 </v>
      </c>
    </row>
    <row r="117" spans="1:17" x14ac:dyDescent="0.2">
      <c r="A117" s="235" t="s">
        <v>197</v>
      </c>
      <c r="B117" s="164" t="s">
        <v>55</v>
      </c>
      <c r="C117" s="165">
        <f t="shared" si="16"/>
        <v>41</v>
      </c>
      <c r="D117" s="166">
        <v>3.1300000000000001E-2</v>
      </c>
      <c r="E117" s="248">
        <v>5</v>
      </c>
      <c r="F117" s="240">
        <v>22.12</v>
      </c>
      <c r="G117" s="169"/>
      <c r="H117" s="261">
        <f t="shared" si="0"/>
        <v>8.6020000000000003</v>
      </c>
      <c r="I117" s="5">
        <f>F117/(100*D117)</f>
        <v>7.0670926517571884</v>
      </c>
      <c r="K117">
        <v>115</v>
      </c>
      <c r="L117" s="250" t="s">
        <v>171</v>
      </c>
      <c r="M117">
        <f t="shared" si="14"/>
        <v>5.5198679999999971</v>
      </c>
      <c r="O117" t="str">
        <f t="shared" si="10"/>
        <v xml:space="preserve">115  px  5.519868 </v>
      </c>
      <c r="Q117" t="str">
        <f t="shared" si="11"/>
        <v xml:space="preserve">115 10 -1.11 -500 115 -116 </v>
      </c>
    </row>
    <row r="118" spans="1:17" s="11" customFormat="1" x14ac:dyDescent="0.2">
      <c r="A118" s="264"/>
      <c r="B118" s="101" t="s">
        <v>198</v>
      </c>
      <c r="C118" s="97">
        <v>109</v>
      </c>
      <c r="D118" s="102">
        <f>$D$9</f>
        <v>4.3180000000000003E-2</v>
      </c>
      <c r="E118" s="241">
        <f>$E$9</f>
        <v>10</v>
      </c>
      <c r="F118" s="236"/>
      <c r="G118" s="99"/>
      <c r="H118" s="265">
        <f>$H$9</f>
        <v>1.1100000000000001</v>
      </c>
      <c r="I118" s="5">
        <f t="shared" si="13"/>
        <v>1.1100000000000001</v>
      </c>
      <c r="K118">
        <v>116</v>
      </c>
      <c r="L118" s="250" t="s">
        <v>171</v>
      </c>
      <c r="M118">
        <f t="shared" si="14"/>
        <v>5.5241859999999967</v>
      </c>
      <c r="O118" t="str">
        <f t="shared" si="10"/>
        <v xml:space="preserve">116  px  5.524186 </v>
      </c>
      <c r="Q118" t="str">
        <f t="shared" si="11"/>
        <v xml:space="preserve">116 4 -1.42 -500 116 -117 </v>
      </c>
    </row>
    <row r="119" spans="1:17" x14ac:dyDescent="0.2">
      <c r="A119" s="140"/>
      <c r="B119" s="141" t="s">
        <v>173</v>
      </c>
      <c r="C119" s="142">
        <f t="shared" si="16"/>
        <v>108</v>
      </c>
      <c r="D119" s="143">
        <v>2.5399999999999999E-2</v>
      </c>
      <c r="E119" s="245">
        <v>4</v>
      </c>
      <c r="F119" s="253"/>
      <c r="G119" s="145"/>
      <c r="H119" s="263">
        <f t="shared" si="0"/>
        <v>1.42</v>
      </c>
      <c r="I119" s="5">
        <f t="shared" si="13"/>
        <v>1.42</v>
      </c>
      <c r="K119">
        <v>117</v>
      </c>
      <c r="L119" s="250" t="s">
        <v>171</v>
      </c>
      <c r="M119">
        <f t="shared" si="14"/>
        <v>5.5267259999999965</v>
      </c>
      <c r="O119" t="str">
        <f t="shared" si="10"/>
        <v xml:space="preserve">117  px  5.526726 </v>
      </c>
      <c r="Q119" t="str">
        <f t="shared" si="11"/>
        <v xml:space="preserve">117 3 -0.000908 -500 117 -118 </v>
      </c>
    </row>
    <row r="120" spans="1:17" x14ac:dyDescent="0.2">
      <c r="A120" s="268"/>
      <c r="B120" s="141" t="s">
        <v>166</v>
      </c>
      <c r="C120" s="142">
        <f>$C$13</f>
        <v>106</v>
      </c>
      <c r="D120" s="143">
        <f>1.575-SUM(D115:D119)</f>
        <v>1.4065399999999999</v>
      </c>
      <c r="E120" s="245">
        <f>$E$13</f>
        <v>3</v>
      </c>
      <c r="F120" s="237"/>
      <c r="G120" s="145"/>
      <c r="H120" s="266">
        <f>$H$13</f>
        <v>9.0799999999999995E-4</v>
      </c>
      <c r="I120" s="267">
        <f>$I$13</f>
        <v>9.0799999999999995E-4</v>
      </c>
      <c r="K120">
        <v>118</v>
      </c>
      <c r="L120" s="250" t="s">
        <v>171</v>
      </c>
      <c r="M120">
        <f t="shared" si="14"/>
        <v>5.6673799999999961</v>
      </c>
      <c r="O120" t="str">
        <f t="shared" si="10"/>
        <v xml:space="preserve">118  px  5.66738 </v>
      </c>
      <c r="Q120" t="str">
        <f t="shared" si="11"/>
        <v xml:space="preserve">118 2 -7.93 -500 118 -119 </v>
      </c>
    </row>
    <row r="121" spans="1:17" x14ac:dyDescent="0.2">
      <c r="A121" s="148"/>
      <c r="B121" s="133" t="s">
        <v>162</v>
      </c>
      <c r="C121" s="134">
        <f>VLOOKUP(B121,Element,2,FALSE)</f>
        <v>103</v>
      </c>
      <c r="D121" s="135">
        <v>0.1244</v>
      </c>
      <c r="E121" s="244">
        <v>2</v>
      </c>
      <c r="F121" s="137">
        <v>101.336</v>
      </c>
      <c r="G121" s="138"/>
      <c r="H121" s="257">
        <f>VLOOKUP(B121,Element,3,FALSE)</f>
        <v>7.93</v>
      </c>
      <c r="I121" s="5">
        <f t="shared" si="13"/>
        <v>7.93</v>
      </c>
      <c r="K121">
        <v>119</v>
      </c>
      <c r="L121" s="250" t="s">
        <v>171</v>
      </c>
      <c r="M121">
        <f t="shared" si="14"/>
        <v>5.6798199999999959</v>
      </c>
      <c r="O121" t="str">
        <f t="shared" si="10"/>
        <v xml:space="preserve">119  px  5.67982 </v>
      </c>
    </row>
    <row r="125" spans="1:17" x14ac:dyDescent="0.2">
      <c r="C125">
        <v>8</v>
      </c>
      <c r="D125">
        <f>C125-1</f>
        <v>7</v>
      </c>
    </row>
    <row r="126" spans="1:17" x14ac:dyDescent="0.2">
      <c r="C126">
        <v>14</v>
      </c>
      <c r="D126">
        <f t="shared" ref="D126:D142" si="17">C126-1</f>
        <v>13</v>
      </c>
    </row>
    <row r="127" spans="1:17" x14ac:dyDescent="0.2">
      <c r="C127">
        <v>20</v>
      </c>
      <c r="D127">
        <f t="shared" si="17"/>
        <v>19</v>
      </c>
    </row>
    <row r="128" spans="1:17" x14ac:dyDescent="0.2">
      <c r="C128">
        <v>27</v>
      </c>
      <c r="D128">
        <f t="shared" si="17"/>
        <v>26</v>
      </c>
    </row>
    <row r="129" spans="3:4" x14ac:dyDescent="0.2">
      <c r="C129">
        <v>33</v>
      </c>
      <c r="D129">
        <f t="shared" si="17"/>
        <v>32</v>
      </c>
    </row>
    <row r="130" spans="3:4" x14ac:dyDescent="0.2">
      <c r="C130">
        <v>39</v>
      </c>
      <c r="D130">
        <f t="shared" si="17"/>
        <v>38</v>
      </c>
    </row>
    <row r="131" spans="3:4" x14ac:dyDescent="0.2">
      <c r="C131">
        <v>46</v>
      </c>
      <c r="D131">
        <f t="shared" si="17"/>
        <v>45</v>
      </c>
    </row>
    <row r="132" spans="3:4" x14ac:dyDescent="0.2">
      <c r="C132">
        <v>52</v>
      </c>
      <c r="D132">
        <f t="shared" si="17"/>
        <v>51</v>
      </c>
    </row>
    <row r="133" spans="3:4" x14ac:dyDescent="0.2">
      <c r="C133">
        <v>58</v>
      </c>
      <c r="D133">
        <f t="shared" si="17"/>
        <v>57</v>
      </c>
    </row>
    <row r="134" spans="3:4" x14ac:dyDescent="0.2">
      <c r="C134">
        <v>65</v>
      </c>
      <c r="D134">
        <f t="shared" si="17"/>
        <v>64</v>
      </c>
    </row>
    <row r="135" spans="3:4" x14ac:dyDescent="0.2">
      <c r="C135">
        <v>71</v>
      </c>
      <c r="D135">
        <f t="shared" si="17"/>
        <v>70</v>
      </c>
    </row>
    <row r="136" spans="3:4" x14ac:dyDescent="0.2">
      <c r="C136">
        <v>77</v>
      </c>
      <c r="D136">
        <f t="shared" si="17"/>
        <v>76</v>
      </c>
    </row>
    <row r="137" spans="3:4" x14ac:dyDescent="0.2">
      <c r="C137">
        <v>84</v>
      </c>
      <c r="D137">
        <f t="shared" si="17"/>
        <v>83</v>
      </c>
    </row>
    <row r="138" spans="3:4" x14ac:dyDescent="0.2">
      <c r="C138">
        <v>90</v>
      </c>
      <c r="D138">
        <f t="shared" si="17"/>
        <v>89</v>
      </c>
    </row>
    <row r="139" spans="3:4" x14ac:dyDescent="0.2">
      <c r="C139">
        <v>96</v>
      </c>
      <c r="D139">
        <f t="shared" si="17"/>
        <v>95</v>
      </c>
    </row>
    <row r="140" spans="3:4" x14ac:dyDescent="0.2">
      <c r="C140">
        <v>103</v>
      </c>
      <c r="D140">
        <f t="shared" si="17"/>
        <v>102</v>
      </c>
    </row>
    <row r="141" spans="3:4" x14ac:dyDescent="0.2">
      <c r="C141">
        <v>109</v>
      </c>
      <c r="D141">
        <f t="shared" si="17"/>
        <v>108</v>
      </c>
    </row>
    <row r="142" spans="3:4" x14ac:dyDescent="0.2">
      <c r="C142">
        <v>115</v>
      </c>
      <c r="D142">
        <f t="shared" si="17"/>
        <v>114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70"/>
  <sheetViews>
    <sheetView workbookViewId="0">
      <selection activeCell="C36" sqref="C36"/>
    </sheetView>
  </sheetViews>
  <sheetFormatPr defaultColWidth="8.85546875" defaultRowHeight="12.75" x14ac:dyDescent="0.2"/>
  <cols>
    <col min="1" max="1" width="19.42578125" bestFit="1" customWidth="1"/>
    <col min="2" max="2" width="11.42578125" customWidth="1"/>
    <col min="3" max="3" width="15.42578125" customWidth="1"/>
    <col min="4" max="4" width="11.28515625" customWidth="1"/>
    <col min="5" max="5" width="8.42578125" bestFit="1" customWidth="1"/>
    <col min="6" max="6" width="14.85546875" bestFit="1" customWidth="1"/>
    <col min="7" max="7" width="13.28515625" style="8" bestFit="1" customWidth="1"/>
    <col min="13" max="13" width="12.140625" bestFit="1" customWidth="1"/>
  </cols>
  <sheetData>
    <row r="1" spans="1:13" ht="16.5" thickBot="1" x14ac:dyDescent="0.3">
      <c r="A1" s="63" t="s">
        <v>144</v>
      </c>
      <c r="B1" s="71" t="s">
        <v>111</v>
      </c>
      <c r="C1" s="55" t="s">
        <v>145</v>
      </c>
      <c r="D1" s="71">
        <v>600</v>
      </c>
      <c r="E1" s="56" t="s">
        <v>107</v>
      </c>
      <c r="F1" s="55" t="s">
        <v>152</v>
      </c>
      <c r="G1" s="71">
        <v>60</v>
      </c>
      <c r="H1" s="56" t="s">
        <v>153</v>
      </c>
    </row>
    <row r="2" spans="1:13" x14ac:dyDescent="0.2">
      <c r="A2" s="57" t="s">
        <v>141</v>
      </c>
      <c r="B2" s="24">
        <f>VLOOKUP($B$1,Element,2,FALSE)</f>
        <v>37</v>
      </c>
      <c r="C2" s="57" t="s">
        <v>118</v>
      </c>
      <c r="D2" s="58">
        <v>100</v>
      </c>
      <c r="E2" s="59"/>
      <c r="F2" s="57" t="s">
        <v>155</v>
      </c>
      <c r="G2" s="81">
        <v>20</v>
      </c>
      <c r="H2" s="56" t="s">
        <v>107</v>
      </c>
    </row>
    <row r="3" spans="1:13" x14ac:dyDescent="0.2">
      <c r="A3" s="64" t="s">
        <v>142</v>
      </c>
      <c r="B3" s="58">
        <v>1</v>
      </c>
      <c r="C3" s="60"/>
      <c r="D3" s="70"/>
      <c r="E3" s="59"/>
      <c r="F3" s="60"/>
      <c r="G3" s="70"/>
      <c r="H3" s="59"/>
    </row>
    <row r="4" spans="1:13" x14ac:dyDescent="0.2">
      <c r="A4" s="64" t="s">
        <v>143</v>
      </c>
      <c r="B4" s="58">
        <f>VLOOKUP(Zproj2,Hcoeff,15)</f>
        <v>1.008</v>
      </c>
      <c r="C4" s="60"/>
      <c r="D4" s="61"/>
      <c r="E4" s="59"/>
      <c r="F4" s="78"/>
      <c r="G4" s="61"/>
      <c r="H4" s="59"/>
    </row>
    <row r="5" spans="1:13" ht="15" x14ac:dyDescent="0.2">
      <c r="A5" s="64" t="s">
        <v>146</v>
      </c>
      <c r="B5" s="20" t="b">
        <v>0</v>
      </c>
      <c r="C5" s="82"/>
      <c r="D5" s="83" t="s">
        <v>156</v>
      </c>
      <c r="E5" s="59"/>
      <c r="F5" s="78"/>
      <c r="G5" s="61"/>
      <c r="H5" s="59"/>
    </row>
    <row r="6" spans="1:13" x14ac:dyDescent="0.2">
      <c r="A6" s="60"/>
      <c r="B6" s="61"/>
      <c r="C6" s="78"/>
      <c r="D6" s="61"/>
      <c r="E6" s="59"/>
      <c r="F6" s="78"/>
      <c r="G6" s="61"/>
      <c r="H6" s="59"/>
    </row>
    <row r="7" spans="1:13" s="72" customFormat="1" ht="25.5" x14ac:dyDescent="0.2">
      <c r="A7" s="74" t="s">
        <v>13</v>
      </c>
      <c r="B7" s="75" t="s">
        <v>15</v>
      </c>
      <c r="C7" s="79"/>
      <c r="D7" s="76" t="s">
        <v>151</v>
      </c>
      <c r="E7" s="77"/>
      <c r="F7" s="79" t="s">
        <v>154</v>
      </c>
      <c r="G7" s="76" t="s">
        <v>151</v>
      </c>
      <c r="H7" s="77"/>
      <c r="K7" s="13"/>
      <c r="L7" s="13"/>
      <c r="M7" s="13"/>
    </row>
    <row r="8" spans="1:13" x14ac:dyDescent="0.2">
      <c r="A8" s="66"/>
      <c r="B8" s="65"/>
      <c r="C8" s="78"/>
      <c r="D8" s="62"/>
      <c r="E8" s="59"/>
      <c r="F8" s="78"/>
      <c r="G8" s="62"/>
      <c r="H8" s="59"/>
      <c r="K8" s="11"/>
      <c r="L8" s="11"/>
      <c r="M8" s="11"/>
    </row>
    <row r="9" spans="1:13" x14ac:dyDescent="0.2">
      <c r="A9" s="67">
        <v>1E-4</v>
      </c>
      <c r="B9" s="68">
        <f>stopng(A9,Zproj2,Mproj2,TargetID2,Gas,Ah,BHe,BGHe,CIpot,Compound) *1000</f>
        <v>14.398924845254069</v>
      </c>
      <c r="C9" s="80"/>
      <c r="D9" s="68">
        <f>eloss(A9,Thickness2,Zproj2,Mproj2,TargetID2,Gas,Precision2,Ah,BHe,BGHe,CIpot,Compound)</f>
        <v>0</v>
      </c>
      <c r="E9" s="59"/>
      <c r="F9" s="80">
        <v>0</v>
      </c>
      <c r="G9" s="68">
        <f>eloss($G$1,F9,Zproj2,Mproj2,TargetID2,Gas,Precision2,Ah,BHe,BGHe,CIpot,Compound)</f>
        <v>0</v>
      </c>
      <c r="H9" s="59"/>
      <c r="K9" s="11"/>
      <c r="L9" s="11"/>
      <c r="M9" s="11"/>
    </row>
    <row r="10" spans="1:13" x14ac:dyDescent="0.2">
      <c r="A10" s="67">
        <f>A9+1</f>
        <v>1.0001</v>
      </c>
      <c r="B10" s="68">
        <f t="shared" ref="B10:B33" si="0">stopng(A10,Zproj2,Mproj2,TargetID2,Gas,Ah,BHe,BGHe,CIpot,Compound) *1000</f>
        <v>107.33623106374691</v>
      </c>
      <c r="C10" s="80"/>
      <c r="D10" s="68">
        <f t="shared" ref="D10:D30" si="1">eloss(A10,Thickness2,Zproj2,Mproj2,TargetID2,Gas,Precision2,Ah,BHe,BGHe,CIpot,Compound)</f>
        <v>-6</v>
      </c>
      <c r="E10" s="59"/>
      <c r="F10" s="80">
        <f>F9+$G$2</f>
        <v>20</v>
      </c>
      <c r="G10" s="68">
        <f t="shared" ref="G10:G33" si="2">eloss($G$1,F10,Zproj2,Mproj2,TargetID2,Gas,Precision2,Ah,BHe,BGHe,CIpot,Compound)</f>
        <v>0.13280279930121708</v>
      </c>
      <c r="H10" s="59"/>
      <c r="K10" s="20"/>
      <c r="L10" s="11"/>
      <c r="M10" s="11"/>
    </row>
    <row r="11" spans="1:13" x14ac:dyDescent="0.2">
      <c r="A11" s="67">
        <f>A10+1</f>
        <v>2.0000999999999998</v>
      </c>
      <c r="B11" s="68">
        <f t="shared" si="0"/>
        <v>72.024153208438165</v>
      </c>
      <c r="C11" s="80"/>
      <c r="D11" s="68">
        <f t="shared" si="1"/>
        <v>-18</v>
      </c>
      <c r="E11" s="59"/>
      <c r="F11" s="80">
        <f t="shared" ref="F11:F30" si="3">F10+$G$2</f>
        <v>40</v>
      </c>
      <c r="G11" s="68">
        <f t="shared" si="2"/>
        <v>0.26582748545510526</v>
      </c>
      <c r="H11" s="59"/>
      <c r="K11" s="20"/>
      <c r="L11" s="11"/>
      <c r="M11" s="11"/>
    </row>
    <row r="12" spans="1:13" x14ac:dyDescent="0.2">
      <c r="A12" s="67">
        <f>A11+1</f>
        <v>3.0000999999999998</v>
      </c>
      <c r="B12" s="68">
        <f t="shared" si="0"/>
        <v>56.130991726073397</v>
      </c>
      <c r="C12" s="80"/>
      <c r="D12" s="68">
        <f t="shared" si="1"/>
        <v>-36</v>
      </c>
      <c r="E12" s="59"/>
      <c r="F12" s="80">
        <f t="shared" si="3"/>
        <v>60</v>
      </c>
      <c r="G12" s="68">
        <f t="shared" si="2"/>
        <v>0.39907532914392618</v>
      </c>
      <c r="H12" s="59"/>
      <c r="L12" s="11"/>
      <c r="M12" s="11"/>
    </row>
    <row r="13" spans="1:13" x14ac:dyDescent="0.2">
      <c r="A13" s="67">
        <f>A12+1</f>
        <v>4.0000999999999998</v>
      </c>
      <c r="B13" s="68">
        <f t="shared" si="0"/>
        <v>46.622776508443209</v>
      </c>
      <c r="C13" s="80"/>
      <c r="D13" s="68">
        <f t="shared" si="1"/>
        <v>-54</v>
      </c>
      <c r="E13" s="59"/>
      <c r="F13" s="80">
        <f t="shared" si="3"/>
        <v>80</v>
      </c>
      <c r="G13" s="68">
        <f t="shared" si="2"/>
        <v>0.53254761332411249</v>
      </c>
      <c r="H13" s="59"/>
      <c r="K13" s="11"/>
      <c r="L13" s="11"/>
      <c r="M13" s="11"/>
    </row>
    <row r="14" spans="1:13" x14ac:dyDescent="0.2">
      <c r="A14" s="67">
        <f>A13+1</f>
        <v>5.0000999999999998</v>
      </c>
      <c r="B14" s="68">
        <f>stopng(A14,Zproj2,Mproj2,TargetID2,Gas,Ah,BHe,BGHe,CIpot,Compound) *1000</f>
        <v>40.189395898394103</v>
      </c>
      <c r="C14" s="80"/>
      <c r="D14" s="68">
        <f t="shared" si="1"/>
        <v>-78</v>
      </c>
      <c r="E14" s="59"/>
      <c r="F14" s="80">
        <f t="shared" si="3"/>
        <v>100</v>
      </c>
      <c r="G14" s="68">
        <f t="shared" si="2"/>
        <v>0.66624563339452436</v>
      </c>
      <c r="H14" s="59"/>
      <c r="L14" s="11"/>
      <c r="M14" s="11"/>
    </row>
    <row r="15" spans="1:13" x14ac:dyDescent="0.2">
      <c r="A15" s="67">
        <f>A14+5</f>
        <v>10.0001</v>
      </c>
      <c r="B15" s="68">
        <f t="shared" si="0"/>
        <v>24.799290505117792</v>
      </c>
      <c r="C15" s="80"/>
      <c r="D15" s="68">
        <f t="shared" si="1"/>
        <v>-240</v>
      </c>
      <c r="E15" s="59"/>
      <c r="F15" s="80">
        <f t="shared" si="3"/>
        <v>120</v>
      </c>
      <c r="G15" s="68">
        <f t="shared" si="2"/>
        <v>0.80017069736614133</v>
      </c>
      <c r="H15" s="59"/>
      <c r="L15" s="11"/>
      <c r="M15" s="11"/>
    </row>
    <row r="16" spans="1:13" x14ac:dyDescent="0.2">
      <c r="A16" s="67">
        <f>A15+5</f>
        <v>15.0001</v>
      </c>
      <c r="B16" s="68">
        <f t="shared" si="0"/>
        <v>18.47319816926548</v>
      </c>
      <c r="C16" s="80"/>
      <c r="D16" s="68">
        <f t="shared" si="1"/>
        <v>-480</v>
      </c>
      <c r="E16" s="59"/>
      <c r="F16" s="80">
        <f t="shared" si="3"/>
        <v>140</v>
      </c>
      <c r="G16" s="68">
        <f t="shared" si="2"/>
        <v>0.93432412603587522</v>
      </c>
      <c r="H16" s="59"/>
      <c r="L16" s="11"/>
      <c r="M16" s="11"/>
    </row>
    <row r="17" spans="1:13" x14ac:dyDescent="0.2">
      <c r="A17" s="67">
        <f>A16+5</f>
        <v>20.0001</v>
      </c>
      <c r="B17" s="68">
        <f t="shared" si="0"/>
        <v>14.932426445386026</v>
      </c>
      <c r="C17" s="80"/>
      <c r="D17" s="68">
        <f t="shared" si="1"/>
        <v>11.585923931899892</v>
      </c>
      <c r="E17" s="59"/>
      <c r="F17" s="80">
        <f t="shared" si="3"/>
        <v>160</v>
      </c>
      <c r="G17" s="68">
        <f t="shared" si="2"/>
        <v>1.0687072531630264</v>
      </c>
      <c r="H17" s="59"/>
      <c r="L17" s="11"/>
      <c r="M17" s="11"/>
    </row>
    <row r="18" spans="1:13" x14ac:dyDescent="0.2">
      <c r="A18" s="67">
        <f>A17+5</f>
        <v>25.0001</v>
      </c>
      <c r="B18" s="68">
        <f t="shared" si="0"/>
        <v>12.641338805619148</v>
      </c>
      <c r="C18" s="80"/>
      <c r="D18" s="68">
        <f t="shared" si="1"/>
        <v>8.7708813611867669</v>
      </c>
      <c r="E18" s="59"/>
      <c r="F18" s="80">
        <f t="shared" si="3"/>
        <v>180</v>
      </c>
      <c r="G18" s="68">
        <f t="shared" si="2"/>
        <v>1.2033214256485394</v>
      </c>
      <c r="H18" s="59"/>
      <c r="K18" s="11"/>
      <c r="L18" s="11"/>
      <c r="M18" s="15"/>
    </row>
    <row r="19" spans="1:13" x14ac:dyDescent="0.2">
      <c r="A19" s="67">
        <f t="shared" ref="A19:A30" si="4">A18+5</f>
        <v>30.0001</v>
      </c>
      <c r="B19" s="68">
        <f t="shared" si="0"/>
        <v>11.02624479512942</v>
      </c>
      <c r="C19" s="80"/>
      <c r="D19" s="68">
        <f t="shared" si="1"/>
        <v>7.2954411606171092</v>
      </c>
      <c r="E19" s="59"/>
      <c r="F19" s="80">
        <f t="shared" si="3"/>
        <v>200</v>
      </c>
      <c r="G19" s="68">
        <f t="shared" si="2"/>
        <v>1.3381680037183656</v>
      </c>
      <c r="H19" s="59"/>
      <c r="K19" s="11"/>
      <c r="L19" s="11"/>
      <c r="M19" s="15"/>
    </row>
    <row r="20" spans="1:13" x14ac:dyDescent="0.2">
      <c r="A20" s="67">
        <f t="shared" si="4"/>
        <v>35.000100000000003</v>
      </c>
      <c r="B20" s="68">
        <f t="shared" si="0"/>
        <v>9.8210020941042053</v>
      </c>
      <c r="C20" s="80"/>
      <c r="D20" s="68">
        <f t="shared" si="1"/>
        <v>6.3291854603481568</v>
      </c>
      <c r="E20" s="59"/>
      <c r="F20" s="80">
        <f t="shared" si="3"/>
        <v>220</v>
      </c>
      <c r="G20" s="68">
        <f t="shared" si="2"/>
        <v>1.4732483611092704</v>
      </c>
      <c r="H20" s="59"/>
      <c r="K20" s="11"/>
      <c r="L20" s="11"/>
      <c r="M20" s="11"/>
    </row>
    <row r="21" spans="1:13" x14ac:dyDescent="0.2">
      <c r="A21" s="67">
        <f t="shared" si="4"/>
        <v>40.000100000000003</v>
      </c>
      <c r="B21" s="68">
        <f t="shared" si="0"/>
        <v>8.8842681870834816</v>
      </c>
      <c r="C21" s="80"/>
      <c r="D21" s="68">
        <f t="shared" si="1"/>
        <v>5.6317864627788055</v>
      </c>
      <c r="E21" s="59"/>
      <c r="F21" s="80">
        <f t="shared" si="3"/>
        <v>240</v>
      </c>
      <c r="G21" s="68">
        <f t="shared" si="2"/>
        <v>1.608563885258576</v>
      </c>
      <c r="H21" s="59"/>
      <c r="K21" s="11"/>
      <c r="L21" s="11"/>
      <c r="M21" s="11"/>
    </row>
    <row r="22" spans="1:13" x14ac:dyDescent="0.2">
      <c r="A22" s="67">
        <f t="shared" si="4"/>
        <v>45.000100000000003</v>
      </c>
      <c r="B22" s="68">
        <f t="shared" si="0"/>
        <v>8.1336280764324336</v>
      </c>
      <c r="C22" s="80"/>
      <c r="D22" s="68">
        <f t="shared" si="1"/>
        <v>5.0987121654065106</v>
      </c>
      <c r="E22" s="59"/>
      <c r="F22" s="80">
        <f t="shared" si="3"/>
        <v>260</v>
      </c>
      <c r="G22" s="68">
        <f t="shared" si="2"/>
        <v>1.7441159774967332</v>
      </c>
      <c r="H22" s="59"/>
      <c r="L22" s="11"/>
      <c r="M22" s="11"/>
    </row>
    <row r="23" spans="1:13" x14ac:dyDescent="0.2">
      <c r="A23" s="67">
        <f t="shared" si="4"/>
        <v>50.000100000000003</v>
      </c>
      <c r="B23" s="68">
        <f t="shared" si="0"/>
        <v>7.517606039087247</v>
      </c>
      <c r="C23" s="80"/>
      <c r="D23" s="68">
        <f t="shared" si="1"/>
        <v>4.6751824645801037</v>
      </c>
      <c r="E23" s="59"/>
      <c r="F23" s="80">
        <f t="shared" si="3"/>
        <v>280</v>
      </c>
      <c r="G23" s="68">
        <f t="shared" si="2"/>
        <v>1.8799060532442269</v>
      </c>
      <c r="H23" s="59"/>
      <c r="L23" s="11"/>
      <c r="M23" s="11"/>
    </row>
    <row r="24" spans="1:13" x14ac:dyDescent="0.2">
      <c r="A24" s="67">
        <f t="shared" si="4"/>
        <v>55.000100000000003</v>
      </c>
      <c r="B24" s="68">
        <f t="shared" si="0"/>
        <v>7.0843568046309127</v>
      </c>
      <c r="C24" s="80"/>
      <c r="D24" s="68">
        <f t="shared" si="1"/>
        <v>4.3836964414672792</v>
      </c>
      <c r="E24" s="59"/>
      <c r="F24" s="80">
        <f t="shared" si="3"/>
        <v>300</v>
      </c>
      <c r="G24" s="68">
        <f t="shared" si="2"/>
        <v>2.0159355422114942</v>
      </c>
      <c r="H24" s="59"/>
      <c r="L24" s="11"/>
      <c r="M24" s="11"/>
    </row>
    <row r="25" spans="1:13" x14ac:dyDescent="0.2">
      <c r="A25" s="67">
        <f t="shared" si="4"/>
        <v>60.000100000000003</v>
      </c>
      <c r="B25" s="68">
        <f t="shared" si="0"/>
        <v>6.6346055065088576</v>
      </c>
      <c r="C25" s="80"/>
      <c r="D25" s="68">
        <f t="shared" si="1"/>
        <v>4.0861204110394596</v>
      </c>
      <c r="E25" s="59"/>
      <c r="F25" s="80">
        <f t="shared" si="3"/>
        <v>320</v>
      </c>
      <c r="G25" s="68">
        <f t="shared" si="2"/>
        <v>2.1522058886023956</v>
      </c>
      <c r="H25" s="59"/>
      <c r="I25" s="11"/>
      <c r="J25" s="11"/>
      <c r="K25" s="11"/>
      <c r="L25" s="17"/>
      <c r="M25" s="11"/>
    </row>
    <row r="26" spans="1:13" x14ac:dyDescent="0.2">
      <c r="A26" s="67">
        <f t="shared" si="4"/>
        <v>65.000100000000003</v>
      </c>
      <c r="B26" s="68">
        <f t="shared" si="0"/>
        <v>6.2481215071259122</v>
      </c>
      <c r="C26" s="80"/>
      <c r="D26" s="68">
        <f t="shared" si="1"/>
        <v>3.8339678243217037</v>
      </c>
      <c r="E26" s="59"/>
      <c r="F26" s="80">
        <f t="shared" si="3"/>
        <v>340</v>
      </c>
      <c r="G26" s="68">
        <f t="shared" si="2"/>
        <v>2.2887185513223898</v>
      </c>
      <c r="H26" s="59"/>
      <c r="I26" s="11"/>
      <c r="J26" s="11"/>
      <c r="K26" s="11"/>
      <c r="L26" s="17"/>
      <c r="M26" s="11"/>
    </row>
    <row r="27" spans="1:13" x14ac:dyDescent="0.2">
      <c r="A27" s="67">
        <f t="shared" si="4"/>
        <v>70.000100000000003</v>
      </c>
      <c r="B27" s="68">
        <f t="shared" si="0"/>
        <v>5.9122238756409908</v>
      </c>
      <c r="C27" s="80"/>
      <c r="D27" s="68">
        <f t="shared" si="1"/>
        <v>3.6172287858912568</v>
      </c>
      <c r="E27" s="59"/>
      <c r="F27" s="80">
        <f t="shared" si="3"/>
        <v>360</v>
      </c>
      <c r="G27" s="68">
        <f t="shared" si="2"/>
        <v>2.4254750041891668</v>
      </c>
      <c r="H27" s="59"/>
      <c r="I27" s="20"/>
      <c r="K27" s="11"/>
      <c r="L27" s="17"/>
      <c r="M27" s="11"/>
    </row>
    <row r="28" spans="1:13" x14ac:dyDescent="0.2">
      <c r="A28" s="67">
        <f t="shared" si="4"/>
        <v>75.000100000000003</v>
      </c>
      <c r="B28" s="68">
        <f t="shared" si="0"/>
        <v>5.6174409839459241</v>
      </c>
      <c r="C28" s="80"/>
      <c r="D28" s="68">
        <f t="shared" si="1"/>
        <v>3.4287021016303356</v>
      </c>
      <c r="E28" s="59"/>
      <c r="F28" s="80">
        <f t="shared" si="3"/>
        <v>380</v>
      </c>
      <c r="G28" s="68">
        <f t="shared" si="2"/>
        <v>2.5624767361481986</v>
      </c>
      <c r="H28" s="59"/>
      <c r="I28" s="21"/>
      <c r="J28" s="21"/>
      <c r="K28" s="11"/>
      <c r="L28" s="17"/>
      <c r="M28" s="21"/>
    </row>
    <row r="29" spans="1:13" x14ac:dyDescent="0.2">
      <c r="A29" s="67">
        <f t="shared" si="4"/>
        <v>80.000100000000003</v>
      </c>
      <c r="B29" s="68">
        <f t="shared" si="0"/>
        <v>5.3565496888156856</v>
      </c>
      <c r="C29" s="80"/>
      <c r="D29" s="68">
        <f t="shared" si="1"/>
        <v>3.2630581764395856</v>
      </c>
      <c r="E29" s="59"/>
      <c r="F29" s="80">
        <f t="shared" si="3"/>
        <v>400</v>
      </c>
      <c r="G29" s="68">
        <f t="shared" si="2"/>
        <v>2.6997252514923531</v>
      </c>
      <c r="H29" s="59"/>
      <c r="I29" s="21"/>
      <c r="J29" s="20"/>
      <c r="K29" s="20"/>
      <c r="L29" s="17"/>
      <c r="M29" s="11"/>
    </row>
    <row r="30" spans="1:13" x14ac:dyDescent="0.2">
      <c r="A30" s="67">
        <f t="shared" si="4"/>
        <v>85.000100000000003</v>
      </c>
      <c r="B30" s="68">
        <f t="shared" si="0"/>
        <v>5.1239415395872907</v>
      </c>
      <c r="C30" s="80"/>
      <c r="D30" s="68">
        <f t="shared" si="1"/>
        <v>3.1162583736350769</v>
      </c>
      <c r="E30" s="59"/>
      <c r="F30" s="80">
        <f t="shared" si="3"/>
        <v>420</v>
      </c>
      <c r="G30" s="68">
        <f t="shared" si="2"/>
        <v>2.8372220700847777</v>
      </c>
      <c r="H30" s="59"/>
      <c r="I30" s="13"/>
      <c r="J30" s="13"/>
      <c r="K30" s="11"/>
      <c r="L30" s="17"/>
      <c r="M30" s="11"/>
    </row>
    <row r="31" spans="1:13" x14ac:dyDescent="0.2">
      <c r="A31" s="67">
        <f>A30+5</f>
        <v>90.000100000000003</v>
      </c>
      <c r="B31" s="68">
        <f t="shared" si="0"/>
        <v>4.9151927699736691</v>
      </c>
      <c r="C31" s="80"/>
      <c r="D31" s="68">
        <f>eloss(A31,Thickness2,Zproj2,Mproj2,TargetID2,Gas,Precision2,Ah,BHe,BGHe,CIpot,Compound)</f>
        <v>2.9851805234255266</v>
      </c>
      <c r="E31" s="59"/>
      <c r="F31" s="80">
        <f>F30+$G$2</f>
        <v>440</v>
      </c>
      <c r="G31" s="68">
        <f t="shared" si="2"/>
        <v>2.9749687275869263</v>
      </c>
      <c r="H31" s="59"/>
      <c r="I31" s="13"/>
      <c r="J31" s="13"/>
      <c r="K31" s="11"/>
      <c r="L31" s="17"/>
      <c r="M31" s="11"/>
    </row>
    <row r="32" spans="1:13" x14ac:dyDescent="0.2">
      <c r="A32" s="67">
        <f>A31+5</f>
        <v>95.000100000000003</v>
      </c>
      <c r="B32" s="68">
        <f t="shared" si="0"/>
        <v>4.7267653064716564</v>
      </c>
      <c r="C32" s="80"/>
      <c r="D32" s="68">
        <f>eloss(A32,Thickness2,Zproj2,Mproj2,TargetID2,Gas,Precision2,Ah,BHe,BGHe,CIpot,Compound)</f>
        <v>2.8673691539869139</v>
      </c>
      <c r="E32" s="59"/>
      <c r="F32" s="80">
        <f>F31+$G$2</f>
        <v>460</v>
      </c>
      <c r="G32" s="68">
        <f t="shared" si="2"/>
        <v>3.1129667756904809</v>
      </c>
      <c r="H32" s="59"/>
      <c r="I32" s="13"/>
      <c r="J32" s="11"/>
      <c r="K32" s="11"/>
      <c r="L32" s="17"/>
      <c r="M32" s="11"/>
    </row>
    <row r="33" spans="1:13" x14ac:dyDescent="0.2">
      <c r="A33" s="67">
        <f>A32+5</f>
        <v>100.0001</v>
      </c>
      <c r="B33" s="68">
        <f t="shared" si="0"/>
        <v>4.5557943411510253</v>
      </c>
      <c r="C33" s="80"/>
      <c r="D33" s="68">
        <f>eloss(A33,Thickness2,Zproj2,Mproj2,TargetID2,Gas,Precision2,Ah,BHe,BGHe,CIpot,Compound)</f>
        <v>2.7608640906139783</v>
      </c>
      <c r="E33" s="59"/>
      <c r="F33" s="80">
        <f>F32+$G$2</f>
        <v>480</v>
      </c>
      <c r="G33" s="68">
        <f t="shared" si="2"/>
        <v>3.2512177823535211</v>
      </c>
      <c r="H33" s="59"/>
      <c r="I33" s="11"/>
      <c r="J33" s="17"/>
      <c r="K33" s="11"/>
      <c r="L33" s="11"/>
      <c r="M33" s="11"/>
    </row>
    <row r="34" spans="1:13" x14ac:dyDescent="0.2">
      <c r="C34" s="16"/>
      <c r="G34" s="69"/>
      <c r="H34" s="11"/>
      <c r="I34" s="11"/>
      <c r="J34" s="17"/>
      <c r="K34" s="11"/>
      <c r="L34" s="11"/>
      <c r="M34" s="11"/>
    </row>
    <row r="35" spans="1:13" x14ac:dyDescent="0.2">
      <c r="C35" s="11"/>
      <c r="D35" s="19"/>
      <c r="E35" s="19"/>
      <c r="F35" s="19"/>
      <c r="G35" s="26"/>
      <c r="H35" s="11"/>
      <c r="I35" s="11"/>
      <c r="J35" s="17"/>
      <c r="K35" s="11"/>
      <c r="L35" s="11"/>
      <c r="M35" s="19"/>
    </row>
    <row r="36" spans="1:13" x14ac:dyDescent="0.2">
      <c r="C36" s="11"/>
      <c r="D36" s="11"/>
      <c r="E36" s="11"/>
      <c r="F36" s="11"/>
      <c r="G36" s="26"/>
      <c r="H36" s="11"/>
      <c r="I36" s="11"/>
      <c r="J36" s="17"/>
      <c r="K36" s="11"/>
      <c r="L36" s="11"/>
      <c r="M36" s="11"/>
    </row>
    <row r="37" spans="1:13" x14ac:dyDescent="0.2">
      <c r="C37" s="11"/>
      <c r="G37" s="26"/>
      <c r="H37" s="11"/>
      <c r="I37" s="11"/>
      <c r="J37" s="17"/>
      <c r="K37" s="11"/>
      <c r="L37" s="11"/>
      <c r="M37" s="11"/>
    </row>
    <row r="38" spans="1:13" x14ac:dyDescent="0.2">
      <c r="C38" s="11"/>
      <c r="G38" s="26"/>
      <c r="H38" s="11"/>
      <c r="I38" s="11"/>
      <c r="J38" s="17"/>
      <c r="K38" s="11"/>
      <c r="L38" s="11"/>
      <c r="M38" s="15"/>
    </row>
    <row r="39" spans="1:13" x14ac:dyDescent="0.2">
      <c r="C39" s="11"/>
      <c r="G39" s="26"/>
      <c r="H39" s="11"/>
      <c r="I39" s="11"/>
      <c r="J39" s="17"/>
      <c r="K39" s="11"/>
      <c r="L39" s="11"/>
      <c r="M39" s="11"/>
    </row>
    <row r="40" spans="1:13" x14ac:dyDescent="0.2">
      <c r="C40" s="11"/>
      <c r="G40" s="26"/>
      <c r="H40" s="11"/>
      <c r="I40" s="11"/>
      <c r="J40" s="17"/>
      <c r="K40" s="11"/>
      <c r="L40" s="11"/>
      <c r="M40" s="15"/>
    </row>
    <row r="41" spans="1:13" x14ac:dyDescent="0.2">
      <c r="C41" s="11"/>
      <c r="G41" s="26"/>
      <c r="H41" s="11"/>
      <c r="I41" s="11"/>
      <c r="J41" s="17"/>
      <c r="K41" s="11"/>
      <c r="L41" s="20"/>
      <c r="M41" s="15"/>
    </row>
    <row r="42" spans="1:13" x14ac:dyDescent="0.2">
      <c r="C42" s="11"/>
      <c r="G42" s="26"/>
      <c r="H42" s="11"/>
      <c r="I42" s="11"/>
      <c r="J42" s="17"/>
      <c r="K42" s="11"/>
      <c r="L42" s="21"/>
      <c r="M42" s="14"/>
    </row>
    <row r="43" spans="1:13" x14ac:dyDescent="0.2">
      <c r="C43" s="11"/>
      <c r="G43" s="26"/>
      <c r="H43" s="11"/>
      <c r="I43" s="11"/>
      <c r="J43" s="11"/>
      <c r="K43" s="11"/>
      <c r="L43" s="11"/>
      <c r="M43" s="11"/>
    </row>
    <row r="44" spans="1:13" x14ac:dyDescent="0.2">
      <c r="C44" s="11"/>
      <c r="G44" s="26"/>
      <c r="H44" s="11"/>
      <c r="I44" s="11"/>
      <c r="J44" s="11"/>
      <c r="K44" s="11"/>
      <c r="L44" s="11"/>
      <c r="M44" s="11"/>
    </row>
    <row r="45" spans="1:13" x14ac:dyDescent="0.2">
      <c r="C45" s="11"/>
      <c r="G45" s="26"/>
      <c r="H45" s="11"/>
      <c r="I45" s="11"/>
      <c r="J45" s="11"/>
      <c r="K45" s="11"/>
      <c r="L45" s="11"/>
      <c r="M45" s="11"/>
    </row>
    <row r="46" spans="1:13" x14ac:dyDescent="0.2">
      <c r="C46" s="11"/>
      <c r="G46" s="26"/>
      <c r="H46" s="11"/>
      <c r="I46" s="11"/>
      <c r="J46" s="11"/>
      <c r="K46" s="11"/>
      <c r="L46" s="11"/>
      <c r="M46" s="11"/>
    </row>
    <row r="47" spans="1:13" x14ac:dyDescent="0.2">
      <c r="C47" s="11"/>
      <c r="G47" s="26"/>
      <c r="H47" s="11"/>
      <c r="I47" s="11"/>
      <c r="J47" s="11"/>
      <c r="K47" s="11"/>
      <c r="L47" s="11"/>
      <c r="M47" s="11"/>
    </row>
    <row r="48" spans="1:13" x14ac:dyDescent="0.2">
      <c r="C48" s="11"/>
      <c r="G48" s="26"/>
      <c r="H48" s="11"/>
      <c r="I48" s="11"/>
      <c r="J48" s="11"/>
      <c r="K48" s="11"/>
      <c r="L48" s="11"/>
      <c r="M48" s="11"/>
    </row>
    <row r="49" spans="3:13" x14ac:dyDescent="0.2">
      <c r="C49" s="11"/>
      <c r="G49" s="26"/>
      <c r="H49" s="11"/>
      <c r="I49" s="11"/>
      <c r="J49" s="11"/>
      <c r="K49" s="11"/>
      <c r="L49" s="11"/>
      <c r="M49" s="11"/>
    </row>
    <row r="50" spans="3:13" x14ac:dyDescent="0.2">
      <c r="C50" s="11"/>
      <c r="G50" s="26"/>
      <c r="H50" s="11"/>
      <c r="I50" s="11"/>
      <c r="J50" s="11"/>
      <c r="K50" s="11"/>
      <c r="L50" s="11"/>
      <c r="M50" s="11"/>
    </row>
    <row r="51" spans="3:13" x14ac:dyDescent="0.2">
      <c r="H51" s="11"/>
      <c r="I51" s="11"/>
      <c r="J51" s="11"/>
      <c r="K51" s="11"/>
      <c r="L51" s="11"/>
      <c r="M51" s="11"/>
    </row>
    <row r="52" spans="3:13" x14ac:dyDescent="0.2">
      <c r="C52" s="11"/>
      <c r="G52" s="18"/>
      <c r="H52" s="11"/>
      <c r="I52" s="11"/>
      <c r="J52" s="11"/>
      <c r="K52" s="11"/>
      <c r="L52" s="11"/>
      <c r="M52" s="11"/>
    </row>
    <row r="53" spans="3:13" x14ac:dyDescent="0.2">
      <c r="C53" s="11"/>
      <c r="G53" s="18"/>
      <c r="H53" s="11"/>
      <c r="I53" s="11"/>
      <c r="J53" s="11"/>
      <c r="K53" s="11"/>
      <c r="L53" s="11"/>
      <c r="M53" s="12"/>
    </row>
    <row r="54" spans="3:13" x14ac:dyDescent="0.2">
      <c r="C54" s="11"/>
      <c r="G54" s="18"/>
      <c r="H54" s="11"/>
      <c r="I54" s="11"/>
      <c r="J54" s="11"/>
      <c r="K54" s="11"/>
      <c r="L54" s="11"/>
      <c r="M54" s="11"/>
    </row>
    <row r="55" spans="3:13" x14ac:dyDescent="0.2">
      <c r="C55" s="11"/>
      <c r="G55" s="18"/>
      <c r="H55" s="11"/>
      <c r="I55" s="11"/>
      <c r="J55" s="11"/>
      <c r="K55" s="11"/>
      <c r="L55" s="11"/>
      <c r="M55" s="11"/>
    </row>
    <row r="56" spans="3:13" x14ac:dyDescent="0.2">
      <c r="C56" s="11"/>
      <c r="G56" s="18"/>
      <c r="H56" s="11"/>
      <c r="I56" s="11"/>
      <c r="J56" s="11"/>
      <c r="K56" s="11"/>
      <c r="L56" s="11"/>
      <c r="M56" s="11"/>
    </row>
    <row r="57" spans="3:13" x14ac:dyDescent="0.2">
      <c r="C57" s="11"/>
      <c r="G57" s="18"/>
      <c r="H57" s="11"/>
      <c r="I57" s="11"/>
      <c r="J57" s="11"/>
      <c r="K57" s="11"/>
      <c r="L57" s="11"/>
      <c r="M57" s="11"/>
    </row>
    <row r="58" spans="3:13" x14ac:dyDescent="0.2">
      <c r="C58" s="11"/>
      <c r="G58" s="18"/>
      <c r="H58" s="11"/>
      <c r="I58" s="11"/>
      <c r="J58" s="11"/>
      <c r="K58" s="11"/>
      <c r="L58" s="11"/>
      <c r="M58" s="11"/>
    </row>
    <row r="59" spans="3:13" x14ac:dyDescent="0.2">
      <c r="C59" s="11"/>
      <c r="G59" s="18"/>
      <c r="H59" s="11"/>
      <c r="I59" s="11"/>
      <c r="J59" s="11"/>
      <c r="K59" s="11"/>
      <c r="L59" s="11"/>
      <c r="M59" s="11"/>
    </row>
    <row r="60" spans="3:13" x14ac:dyDescent="0.2">
      <c r="C60" s="11"/>
      <c r="G60" s="18"/>
      <c r="H60" s="11"/>
      <c r="I60" s="11"/>
      <c r="J60" s="11"/>
      <c r="K60" s="11"/>
      <c r="L60" s="11"/>
      <c r="M60" s="11"/>
    </row>
    <row r="61" spans="3:13" x14ac:dyDescent="0.2">
      <c r="C61" s="11"/>
      <c r="G61" s="18"/>
      <c r="H61" s="11"/>
      <c r="I61" s="11"/>
      <c r="J61" s="11"/>
      <c r="K61" s="11"/>
      <c r="L61" s="11"/>
      <c r="M61" s="11"/>
    </row>
    <row r="62" spans="3:13" x14ac:dyDescent="0.2">
      <c r="C62" s="11"/>
      <c r="G62" s="18"/>
      <c r="H62" s="11"/>
      <c r="I62" s="11"/>
      <c r="J62" s="11"/>
      <c r="K62" s="11"/>
      <c r="L62" s="11"/>
      <c r="M62" s="11"/>
    </row>
    <row r="63" spans="3:13" x14ac:dyDescent="0.2">
      <c r="C63" s="11"/>
      <c r="G63" s="18"/>
      <c r="H63" s="11"/>
      <c r="I63" s="11"/>
      <c r="J63" s="11"/>
      <c r="K63" s="11"/>
      <c r="L63" s="11"/>
      <c r="M63" s="11"/>
    </row>
    <row r="64" spans="3:13" x14ac:dyDescent="0.2">
      <c r="C64" s="11"/>
      <c r="G64" s="18"/>
      <c r="H64" s="11"/>
      <c r="I64" s="11"/>
      <c r="J64" s="11"/>
      <c r="K64" s="11"/>
      <c r="L64" s="11"/>
      <c r="M64" s="11"/>
    </row>
    <row r="65" spans="3:13" x14ac:dyDescent="0.2">
      <c r="C65" s="11"/>
      <c r="G65" s="18"/>
      <c r="H65" s="11"/>
      <c r="I65" s="11"/>
      <c r="J65" s="11"/>
      <c r="K65" s="11"/>
      <c r="L65" s="11"/>
      <c r="M65" s="11"/>
    </row>
    <row r="66" spans="3:13" x14ac:dyDescent="0.2">
      <c r="C66" s="11"/>
      <c r="G66" s="18"/>
      <c r="H66" s="11"/>
      <c r="I66" s="11"/>
      <c r="J66" s="11"/>
      <c r="K66" s="11"/>
      <c r="L66" s="11"/>
      <c r="M66" s="11"/>
    </row>
    <row r="67" spans="3:13" x14ac:dyDescent="0.2">
      <c r="H67" s="11"/>
      <c r="I67" s="11"/>
      <c r="J67" s="11"/>
      <c r="K67" s="11"/>
      <c r="L67" s="11"/>
      <c r="M67" s="11"/>
    </row>
    <row r="68" spans="3:13" x14ac:dyDescent="0.2">
      <c r="C68" s="11"/>
      <c r="G68" s="26"/>
      <c r="H68" s="11"/>
      <c r="I68" s="11"/>
      <c r="J68" s="11"/>
      <c r="K68" s="11"/>
      <c r="L68" s="11"/>
      <c r="M68" s="11"/>
    </row>
    <row r="69" spans="3:13" x14ac:dyDescent="0.2">
      <c r="C69" s="11"/>
      <c r="G69" s="26"/>
      <c r="H69" s="11"/>
      <c r="I69" s="11"/>
      <c r="J69" s="11"/>
      <c r="K69" s="11"/>
      <c r="L69" s="11"/>
      <c r="M69" s="11"/>
    </row>
    <row r="70" spans="3:13" x14ac:dyDescent="0.2">
      <c r="C70" s="11"/>
      <c r="G70" s="26"/>
      <c r="H70" s="11"/>
      <c r="I70" s="11"/>
      <c r="J70" s="11"/>
      <c r="K70" s="11"/>
      <c r="L70" s="11"/>
      <c r="M70" s="11"/>
    </row>
  </sheetData>
  <sheetProtection sheet="1"/>
  <phoneticPr fontId="0" type="noConversion"/>
  <pageMargins left="0.75" right="0.75" top="1" bottom="1" header="0.5" footer="0.5"/>
  <pageSetup orientation="portrait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X160"/>
  <sheetViews>
    <sheetView topLeftCell="A95" workbookViewId="0">
      <selection activeCell="B115" sqref="B115"/>
    </sheetView>
  </sheetViews>
  <sheetFormatPr defaultColWidth="8.85546875" defaultRowHeight="12.75" x14ac:dyDescent="0.2"/>
  <cols>
    <col min="1" max="1" width="9.85546875" bestFit="1" customWidth="1"/>
    <col min="2" max="2" width="4.28515625" bestFit="1" customWidth="1"/>
    <col min="3" max="3" width="11" bestFit="1" customWidth="1"/>
    <col min="4" max="4" width="3.28515625" bestFit="1" customWidth="1"/>
    <col min="5" max="14" width="3.7109375" customWidth="1"/>
    <col min="15" max="24" width="5.140625" customWidth="1"/>
  </cols>
  <sheetData>
    <row r="1" spans="1:24" x14ac:dyDescent="0.2">
      <c r="A1" s="88"/>
      <c r="B1" s="88"/>
      <c r="C1" s="88"/>
      <c r="D1" s="88"/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s="88"/>
      <c r="Q1" s="88"/>
      <c r="R1" s="88"/>
      <c r="S1" s="88"/>
      <c r="T1" s="88"/>
      <c r="U1" s="88"/>
      <c r="V1" s="88"/>
      <c r="W1" s="88"/>
      <c r="X1" s="88"/>
    </row>
    <row r="2" spans="1:24" x14ac:dyDescent="0.2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</row>
    <row r="3" spans="1:24" x14ac:dyDescent="0.2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</row>
    <row r="4" spans="1:24" x14ac:dyDescent="0.2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</row>
    <row r="5" spans="1:24" x14ac:dyDescent="0.2">
      <c r="A5" s="88"/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</row>
    <row r="6" spans="1:24" x14ac:dyDescent="0.2">
      <c r="A6" s="88"/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</row>
    <row r="7" spans="1:24" x14ac:dyDescent="0.2">
      <c r="A7" s="88"/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</row>
    <row r="8" spans="1:24" x14ac:dyDescent="0.2">
      <c r="A8" s="8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</row>
    <row r="9" spans="1:24" x14ac:dyDescent="0.2">
      <c r="A9" s="88"/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</row>
    <row r="10" spans="1:24" x14ac:dyDescent="0.2">
      <c r="A10" t="s">
        <v>157</v>
      </c>
      <c r="B10" t="s">
        <v>158</v>
      </c>
      <c r="C10" t="s">
        <v>110</v>
      </c>
      <c r="D10" t="s">
        <v>159</v>
      </c>
      <c r="E10" t="s">
        <v>160</v>
      </c>
      <c r="O10" t="s">
        <v>161</v>
      </c>
    </row>
    <row r="11" spans="1:24" x14ac:dyDescent="0.2">
      <c r="A11" s="24" t="s">
        <v>16</v>
      </c>
      <c r="B11" s="24">
        <v>1</v>
      </c>
      <c r="C11" s="24">
        <f>'Ziegler Data'!P11</f>
        <v>8.9969999999999994E-5</v>
      </c>
      <c r="D11" s="25">
        <v>1</v>
      </c>
      <c r="E11" s="22">
        <v>1</v>
      </c>
      <c r="F11" s="22"/>
      <c r="G11" s="22"/>
      <c r="H11" s="22"/>
      <c r="I11" s="22"/>
      <c r="J11" s="22"/>
      <c r="K11" s="22"/>
      <c r="L11" s="22"/>
      <c r="M11" s="22"/>
      <c r="N11" s="22"/>
      <c r="O11" s="23">
        <v>1</v>
      </c>
      <c r="P11" s="23"/>
      <c r="Q11" s="23"/>
      <c r="R11" s="23"/>
      <c r="S11" s="23"/>
      <c r="T11" s="23"/>
      <c r="U11" s="23"/>
      <c r="V11" s="23"/>
      <c r="W11" s="23"/>
      <c r="X11" s="23"/>
    </row>
    <row r="12" spans="1:24" x14ac:dyDescent="0.2">
      <c r="A12" s="24" t="s">
        <v>17</v>
      </c>
      <c r="B12" s="24">
        <v>2</v>
      </c>
      <c r="C12" s="24">
        <f>'Ziegler Data'!P12</f>
        <v>1.786E-4</v>
      </c>
      <c r="D12" s="25">
        <v>1</v>
      </c>
      <c r="E12" s="22">
        <v>2</v>
      </c>
      <c r="F12" s="22"/>
      <c r="G12" s="22"/>
      <c r="H12" s="22"/>
      <c r="I12" s="22"/>
      <c r="J12" s="22"/>
      <c r="K12" s="22"/>
      <c r="L12" s="22"/>
      <c r="M12" s="22"/>
      <c r="N12" s="22"/>
      <c r="O12" s="23">
        <v>1</v>
      </c>
      <c r="P12" s="23"/>
      <c r="Q12" s="23"/>
      <c r="R12" s="23"/>
      <c r="S12" s="23"/>
      <c r="T12" s="23"/>
      <c r="U12" s="23"/>
      <c r="V12" s="23"/>
      <c r="W12" s="23"/>
      <c r="X12" s="23"/>
    </row>
    <row r="13" spans="1:24" x14ac:dyDescent="0.2">
      <c r="A13" s="24" t="s">
        <v>18</v>
      </c>
      <c r="B13" s="24">
        <v>3</v>
      </c>
      <c r="C13" s="24">
        <f>'Ziegler Data'!P13</f>
        <v>0.53</v>
      </c>
      <c r="D13" s="25">
        <v>1</v>
      </c>
      <c r="E13" s="22">
        <v>3</v>
      </c>
      <c r="F13" s="22"/>
      <c r="G13" s="22"/>
      <c r="H13" s="22"/>
      <c r="I13" s="22"/>
      <c r="J13" s="22"/>
      <c r="K13" s="22"/>
      <c r="L13" s="22"/>
      <c r="M13" s="22"/>
      <c r="N13" s="22"/>
      <c r="O13" s="23">
        <v>1</v>
      </c>
      <c r="P13" s="23"/>
      <c r="Q13" s="23"/>
      <c r="R13" s="23"/>
      <c r="S13" s="23"/>
      <c r="T13" s="23"/>
      <c r="U13" s="23"/>
      <c r="V13" s="23"/>
      <c r="W13" s="23"/>
      <c r="X13" s="23"/>
    </row>
    <row r="14" spans="1:24" x14ac:dyDescent="0.2">
      <c r="A14" s="24" t="s">
        <v>19</v>
      </c>
      <c r="B14" s="24">
        <v>4</v>
      </c>
      <c r="C14" s="24">
        <f>'Ziegler Data'!P14</f>
        <v>1.802</v>
      </c>
      <c r="D14" s="25">
        <v>1</v>
      </c>
      <c r="E14" s="22">
        <v>4</v>
      </c>
      <c r="F14" s="22"/>
      <c r="G14" s="22"/>
      <c r="H14" s="22"/>
      <c r="I14" s="22"/>
      <c r="J14" s="22"/>
      <c r="K14" s="22"/>
      <c r="L14" s="22"/>
      <c r="M14" s="22"/>
      <c r="N14" s="22"/>
      <c r="O14" s="23">
        <v>1</v>
      </c>
      <c r="P14" s="23"/>
      <c r="Q14" s="23"/>
      <c r="R14" s="23"/>
      <c r="S14" s="23"/>
      <c r="T14" s="23"/>
      <c r="U14" s="23"/>
      <c r="V14" s="23"/>
      <c r="W14" s="23"/>
      <c r="X14" s="23"/>
    </row>
    <row r="15" spans="1:24" x14ac:dyDescent="0.2">
      <c r="A15" s="24" t="s">
        <v>20</v>
      </c>
      <c r="B15" s="24">
        <v>5</v>
      </c>
      <c r="C15" s="24">
        <f>'Ziegler Data'!P15</f>
        <v>2.35</v>
      </c>
      <c r="D15" s="25">
        <v>1</v>
      </c>
      <c r="E15" s="22">
        <v>5</v>
      </c>
      <c r="F15" s="22"/>
      <c r="G15" s="22"/>
      <c r="H15" s="22"/>
      <c r="I15" s="22"/>
      <c r="J15" s="22"/>
      <c r="K15" s="22"/>
      <c r="L15" s="22"/>
      <c r="M15" s="22"/>
      <c r="N15" s="22"/>
      <c r="O15" s="23">
        <v>1</v>
      </c>
      <c r="P15" s="23"/>
      <c r="Q15" s="23"/>
      <c r="R15" s="23"/>
      <c r="S15" s="23"/>
      <c r="T15" s="23"/>
      <c r="U15" s="23"/>
      <c r="V15" s="23"/>
      <c r="W15" s="23"/>
      <c r="X15" s="23"/>
    </row>
    <row r="16" spans="1:24" x14ac:dyDescent="0.2">
      <c r="A16" s="24" t="s">
        <v>21</v>
      </c>
      <c r="B16" s="24">
        <v>6</v>
      </c>
      <c r="C16" s="24">
        <f>'Ziegler Data'!P16</f>
        <v>2.266</v>
      </c>
      <c r="D16" s="25">
        <v>1</v>
      </c>
      <c r="E16" s="22">
        <v>6</v>
      </c>
      <c r="F16" s="22"/>
      <c r="G16" s="22"/>
      <c r="H16" s="22"/>
      <c r="I16" s="22"/>
      <c r="J16" s="22"/>
      <c r="K16" s="22"/>
      <c r="L16" s="22"/>
      <c r="M16" s="22"/>
      <c r="N16" s="22"/>
      <c r="O16" s="23">
        <v>1</v>
      </c>
      <c r="P16" s="23"/>
      <c r="Q16" s="23"/>
      <c r="R16" s="23"/>
      <c r="S16" s="23"/>
      <c r="T16" s="23"/>
      <c r="U16" s="23"/>
      <c r="V16" s="23"/>
      <c r="W16" s="23"/>
      <c r="X16" s="23"/>
    </row>
    <row r="17" spans="1:24" x14ac:dyDescent="0.2">
      <c r="A17" s="24" t="s">
        <v>14</v>
      </c>
      <c r="B17" s="24">
        <v>7</v>
      </c>
      <c r="C17" s="24">
        <f>'Ziegler Data'!P17</f>
        <v>1.25E-3</v>
      </c>
      <c r="D17" s="25">
        <v>1</v>
      </c>
      <c r="E17" s="22">
        <v>7</v>
      </c>
      <c r="F17" s="22"/>
      <c r="G17" s="22"/>
      <c r="H17" s="22"/>
      <c r="I17" s="22"/>
      <c r="J17" s="22"/>
      <c r="K17" s="22"/>
      <c r="L17" s="22"/>
      <c r="M17" s="22"/>
      <c r="N17" s="22"/>
      <c r="O17" s="23">
        <v>1</v>
      </c>
      <c r="P17" s="23"/>
      <c r="Q17" s="23"/>
      <c r="R17" s="23"/>
      <c r="S17" s="23"/>
      <c r="T17" s="23"/>
      <c r="U17" s="23"/>
      <c r="V17" s="23"/>
      <c r="W17" s="23"/>
      <c r="X17" s="23"/>
    </row>
    <row r="18" spans="1:24" x14ac:dyDescent="0.2">
      <c r="A18" s="24" t="s">
        <v>22</v>
      </c>
      <c r="B18" s="24">
        <v>8</v>
      </c>
      <c r="C18" s="24">
        <f>'Ziegler Data'!P18</f>
        <v>1.428E-3</v>
      </c>
      <c r="D18" s="25">
        <v>1</v>
      </c>
      <c r="E18" s="22">
        <v>8</v>
      </c>
      <c r="F18" s="22"/>
      <c r="G18" s="22"/>
      <c r="H18" s="22"/>
      <c r="I18" s="22"/>
      <c r="J18" s="22"/>
      <c r="K18" s="22"/>
      <c r="L18" s="22"/>
      <c r="M18" s="22"/>
      <c r="N18" s="22"/>
      <c r="O18" s="23">
        <v>1</v>
      </c>
      <c r="P18" s="23"/>
      <c r="Q18" s="23"/>
      <c r="R18" s="23"/>
      <c r="S18" s="23"/>
      <c r="T18" s="23"/>
      <c r="U18" s="23"/>
      <c r="V18" s="23"/>
      <c r="W18" s="23"/>
      <c r="X18" s="23"/>
    </row>
    <row r="19" spans="1:24" x14ac:dyDescent="0.2">
      <c r="A19" s="24" t="s">
        <v>23</v>
      </c>
      <c r="B19" s="24">
        <v>9</v>
      </c>
      <c r="C19" s="24">
        <f>'Ziegler Data'!P19</f>
        <v>1.696E-3</v>
      </c>
      <c r="D19" s="25">
        <v>1</v>
      </c>
      <c r="E19" s="22">
        <v>9</v>
      </c>
      <c r="F19" s="22"/>
      <c r="G19" s="22"/>
      <c r="H19" s="22"/>
      <c r="I19" s="22"/>
      <c r="J19" s="22"/>
      <c r="K19" s="22"/>
      <c r="L19" s="22"/>
      <c r="M19" s="22"/>
      <c r="N19" s="22"/>
      <c r="O19" s="23">
        <v>1</v>
      </c>
      <c r="P19" s="23"/>
      <c r="Q19" s="23"/>
      <c r="R19" s="23"/>
      <c r="S19" s="23"/>
      <c r="T19" s="23"/>
      <c r="U19" s="23"/>
      <c r="V19" s="23"/>
      <c r="W19" s="23"/>
      <c r="X19" s="23"/>
    </row>
    <row r="20" spans="1:24" x14ac:dyDescent="0.2">
      <c r="A20" s="24" t="s">
        <v>24</v>
      </c>
      <c r="B20" s="24">
        <v>10</v>
      </c>
      <c r="C20" s="24">
        <f>'Ziegler Data'!P20</f>
        <v>9.0090000000000005E-4</v>
      </c>
      <c r="D20" s="25">
        <v>1</v>
      </c>
      <c r="E20" s="22">
        <v>10</v>
      </c>
      <c r="F20" s="22"/>
      <c r="G20" s="22"/>
      <c r="H20" s="22"/>
      <c r="I20" s="22"/>
      <c r="J20" s="22"/>
      <c r="K20" s="22"/>
      <c r="L20" s="22"/>
      <c r="M20" s="22"/>
      <c r="N20" s="22"/>
      <c r="O20" s="23">
        <v>1</v>
      </c>
      <c r="P20" s="23"/>
      <c r="Q20" s="23"/>
      <c r="R20" s="23"/>
      <c r="S20" s="23"/>
      <c r="T20" s="23"/>
      <c r="U20" s="23"/>
      <c r="V20" s="23"/>
      <c r="W20" s="23"/>
      <c r="X20" s="23"/>
    </row>
    <row r="21" spans="1:24" x14ac:dyDescent="0.2">
      <c r="A21" s="24" t="s">
        <v>27</v>
      </c>
      <c r="B21" s="24">
        <v>11</v>
      </c>
      <c r="C21" s="24">
        <f>'Ziegler Data'!P21</f>
        <v>0.97</v>
      </c>
      <c r="D21" s="25">
        <v>1</v>
      </c>
      <c r="E21" s="22">
        <v>11</v>
      </c>
      <c r="F21" s="22"/>
      <c r="G21" s="22"/>
      <c r="H21" s="22"/>
      <c r="I21" s="22"/>
      <c r="J21" s="22"/>
      <c r="K21" s="22"/>
      <c r="L21" s="22"/>
      <c r="M21" s="22"/>
      <c r="N21" s="22"/>
      <c r="O21" s="23">
        <v>1</v>
      </c>
      <c r="P21" s="23"/>
      <c r="Q21" s="23"/>
      <c r="R21" s="23"/>
      <c r="S21" s="23"/>
      <c r="T21" s="23"/>
      <c r="U21" s="23"/>
      <c r="V21" s="23"/>
      <c r="W21" s="23"/>
      <c r="X21" s="23"/>
    </row>
    <row r="22" spans="1:24" x14ac:dyDescent="0.2">
      <c r="A22" s="24" t="s">
        <v>25</v>
      </c>
      <c r="B22" s="24">
        <v>12</v>
      </c>
      <c r="C22" s="24">
        <f>'Ziegler Data'!P22</f>
        <v>1.7370000000000001</v>
      </c>
      <c r="D22" s="25">
        <v>1</v>
      </c>
      <c r="E22" s="22">
        <v>12</v>
      </c>
      <c r="F22" s="22"/>
      <c r="G22" s="22"/>
      <c r="H22" s="22"/>
      <c r="I22" s="22"/>
      <c r="J22" s="22"/>
      <c r="K22" s="22"/>
      <c r="L22" s="22"/>
      <c r="M22" s="22"/>
      <c r="N22" s="22"/>
      <c r="O22" s="23">
        <v>1</v>
      </c>
      <c r="P22" s="23"/>
      <c r="Q22" s="23"/>
      <c r="R22" s="23"/>
      <c r="S22" s="23"/>
      <c r="T22" s="23"/>
      <c r="U22" s="23"/>
      <c r="V22" s="23"/>
      <c r="W22" s="23"/>
      <c r="X22" s="23"/>
    </row>
    <row r="23" spans="1:24" x14ac:dyDescent="0.2">
      <c r="A23" s="24" t="s">
        <v>26</v>
      </c>
      <c r="B23" s="24">
        <v>13</v>
      </c>
      <c r="C23" s="24">
        <f>'Ziegler Data'!P23</f>
        <v>2.698</v>
      </c>
      <c r="D23" s="25">
        <v>1</v>
      </c>
      <c r="E23" s="22">
        <v>13</v>
      </c>
      <c r="F23" s="22"/>
      <c r="G23" s="22"/>
      <c r="H23" s="22"/>
      <c r="I23" s="22"/>
      <c r="J23" s="22"/>
      <c r="K23" s="22"/>
      <c r="L23" s="22"/>
      <c r="M23" s="22"/>
      <c r="N23" s="22"/>
      <c r="O23" s="23">
        <v>1</v>
      </c>
      <c r="P23" s="23"/>
      <c r="Q23" s="23"/>
      <c r="R23" s="23"/>
      <c r="S23" s="23"/>
      <c r="T23" s="23"/>
      <c r="U23" s="23"/>
      <c r="V23" s="23"/>
      <c r="W23" s="23"/>
      <c r="X23" s="23"/>
    </row>
    <row r="24" spans="1:24" x14ac:dyDescent="0.2">
      <c r="A24" s="24" t="s">
        <v>28</v>
      </c>
      <c r="B24" s="24">
        <v>14</v>
      </c>
      <c r="C24" s="24">
        <f>'Ziegler Data'!P24</f>
        <v>2.3210000000000002</v>
      </c>
      <c r="D24" s="25">
        <v>1</v>
      </c>
      <c r="E24" s="22">
        <v>14</v>
      </c>
      <c r="F24" s="22"/>
      <c r="G24" s="22"/>
      <c r="H24" s="22"/>
      <c r="I24" s="22"/>
      <c r="J24" s="22"/>
      <c r="K24" s="22"/>
      <c r="L24" s="22"/>
      <c r="M24" s="22"/>
      <c r="N24" s="22"/>
      <c r="O24" s="23">
        <v>1</v>
      </c>
      <c r="P24" s="23"/>
      <c r="Q24" s="23"/>
      <c r="R24" s="23"/>
      <c r="S24" s="23"/>
      <c r="T24" s="23"/>
      <c r="U24" s="23"/>
      <c r="V24" s="23"/>
      <c r="W24" s="23"/>
      <c r="X24" s="23"/>
    </row>
    <row r="25" spans="1:24" x14ac:dyDescent="0.2">
      <c r="A25" s="24" t="s">
        <v>29</v>
      </c>
      <c r="B25" s="24">
        <v>15</v>
      </c>
      <c r="C25" s="24">
        <f>'Ziegler Data'!P25</f>
        <v>1.8220000000000001</v>
      </c>
      <c r="D25" s="25">
        <v>1</v>
      </c>
      <c r="E25" s="22">
        <v>15</v>
      </c>
      <c r="F25" s="22"/>
      <c r="G25" s="22"/>
      <c r="H25" s="22"/>
      <c r="I25" s="22"/>
      <c r="J25" s="22"/>
      <c r="K25" s="22"/>
      <c r="L25" s="22"/>
      <c r="M25" s="22"/>
      <c r="N25" s="22"/>
      <c r="O25" s="23">
        <v>1</v>
      </c>
      <c r="P25" s="23"/>
      <c r="Q25" s="23"/>
      <c r="R25" s="23"/>
      <c r="S25" s="23"/>
      <c r="T25" s="23"/>
      <c r="U25" s="23"/>
      <c r="V25" s="23"/>
      <c r="W25" s="23"/>
      <c r="X25" s="23"/>
    </row>
    <row r="26" spans="1:24" x14ac:dyDescent="0.2">
      <c r="A26" s="24" t="s">
        <v>30</v>
      </c>
      <c r="B26" s="24">
        <v>16</v>
      </c>
      <c r="C26" s="24">
        <f>'Ziegler Data'!P26</f>
        <v>2.069</v>
      </c>
      <c r="D26" s="25">
        <v>1</v>
      </c>
      <c r="E26" s="22">
        <v>16</v>
      </c>
      <c r="F26" s="22"/>
      <c r="G26" s="22"/>
      <c r="H26" s="22"/>
      <c r="I26" s="22"/>
      <c r="J26" s="22"/>
      <c r="K26" s="22"/>
      <c r="L26" s="22"/>
      <c r="M26" s="22"/>
      <c r="N26" s="22"/>
      <c r="O26" s="23">
        <v>1</v>
      </c>
      <c r="P26" s="23"/>
      <c r="Q26" s="23"/>
      <c r="R26" s="23"/>
      <c r="S26" s="23"/>
      <c r="T26" s="23"/>
      <c r="U26" s="23"/>
      <c r="V26" s="23"/>
      <c r="W26" s="23"/>
      <c r="X26" s="23"/>
    </row>
    <row r="27" spans="1:24" x14ac:dyDescent="0.2">
      <c r="A27" s="24" t="s">
        <v>31</v>
      </c>
      <c r="B27" s="24">
        <v>17</v>
      </c>
      <c r="C27" s="24">
        <f>'Ziegler Data'!P27</f>
        <v>3.1649999999999998E-3</v>
      </c>
      <c r="D27" s="25">
        <v>1</v>
      </c>
      <c r="E27" s="22">
        <v>17</v>
      </c>
      <c r="F27" s="22"/>
      <c r="G27" s="22"/>
      <c r="H27" s="22"/>
      <c r="I27" s="22"/>
      <c r="J27" s="22"/>
      <c r="K27" s="22"/>
      <c r="L27" s="22"/>
      <c r="M27" s="22"/>
      <c r="N27" s="22"/>
      <c r="O27" s="23">
        <v>1</v>
      </c>
      <c r="P27" s="23"/>
      <c r="Q27" s="23"/>
      <c r="R27" s="23"/>
      <c r="S27" s="23"/>
      <c r="T27" s="23"/>
      <c r="U27" s="23"/>
      <c r="V27" s="23"/>
      <c r="W27" s="23"/>
      <c r="X27" s="23"/>
    </row>
    <row r="28" spans="1:24" x14ac:dyDescent="0.2">
      <c r="A28" s="24" t="s">
        <v>32</v>
      </c>
      <c r="B28" s="24">
        <v>18</v>
      </c>
      <c r="C28" s="24">
        <f>'Ziegler Data'!P28</f>
        <v>1.7830000000000001E-3</v>
      </c>
      <c r="D28" s="25">
        <v>1</v>
      </c>
      <c r="E28" s="22">
        <v>18</v>
      </c>
      <c r="F28" s="22"/>
      <c r="G28" s="22"/>
      <c r="H28" s="22"/>
      <c r="I28" s="22"/>
      <c r="J28" s="22"/>
      <c r="K28" s="22"/>
      <c r="L28" s="22"/>
      <c r="M28" s="22"/>
      <c r="N28" s="22"/>
      <c r="O28" s="23">
        <v>1</v>
      </c>
      <c r="P28" s="23"/>
      <c r="Q28" s="23"/>
      <c r="R28" s="23"/>
      <c r="S28" s="23"/>
      <c r="T28" s="23"/>
      <c r="U28" s="23"/>
      <c r="V28" s="23"/>
      <c r="W28" s="23"/>
      <c r="X28" s="23"/>
    </row>
    <row r="29" spans="1:24" x14ac:dyDescent="0.2">
      <c r="A29" s="24" t="s">
        <v>33</v>
      </c>
      <c r="B29" s="24">
        <v>19</v>
      </c>
      <c r="C29" s="24">
        <f>'Ziegler Data'!P29</f>
        <v>0.86299999999999999</v>
      </c>
      <c r="D29" s="25">
        <v>1</v>
      </c>
      <c r="E29" s="22">
        <v>19</v>
      </c>
      <c r="F29" s="22"/>
      <c r="G29" s="22"/>
      <c r="H29" s="22"/>
      <c r="I29" s="22"/>
      <c r="J29" s="22"/>
      <c r="K29" s="22"/>
      <c r="L29" s="22"/>
      <c r="M29" s="22"/>
      <c r="N29" s="22"/>
      <c r="O29" s="23">
        <v>1</v>
      </c>
      <c r="P29" s="23"/>
      <c r="Q29" s="23"/>
      <c r="R29" s="23"/>
      <c r="S29" s="23"/>
      <c r="T29" s="23"/>
      <c r="U29" s="23"/>
      <c r="V29" s="23"/>
      <c r="W29" s="23"/>
      <c r="X29" s="23"/>
    </row>
    <row r="30" spans="1:24" x14ac:dyDescent="0.2">
      <c r="A30" s="24" t="s">
        <v>34</v>
      </c>
      <c r="B30" s="24">
        <v>20</v>
      </c>
      <c r="C30" s="24">
        <f>'Ziegler Data'!P30</f>
        <v>1.34</v>
      </c>
      <c r="D30" s="25">
        <v>1</v>
      </c>
      <c r="E30" s="22">
        <v>20</v>
      </c>
      <c r="F30" s="22"/>
      <c r="G30" s="22"/>
      <c r="H30" s="22"/>
      <c r="I30" s="22"/>
      <c r="J30" s="22"/>
      <c r="K30" s="22"/>
      <c r="L30" s="22"/>
      <c r="M30" s="22"/>
      <c r="N30" s="22"/>
      <c r="O30" s="23">
        <v>1</v>
      </c>
      <c r="P30" s="23"/>
      <c r="Q30" s="23"/>
      <c r="R30" s="23"/>
      <c r="S30" s="23"/>
      <c r="T30" s="23"/>
      <c r="U30" s="23"/>
      <c r="V30" s="23"/>
      <c r="W30" s="23"/>
      <c r="X30" s="23"/>
    </row>
    <row r="31" spans="1:24" x14ac:dyDescent="0.2">
      <c r="A31" s="24" t="s">
        <v>35</v>
      </c>
      <c r="B31" s="24">
        <v>21</v>
      </c>
      <c r="C31" s="24">
        <f>'Ziegler Data'!P31</f>
        <v>2.9969999999999999</v>
      </c>
      <c r="D31" s="25">
        <v>1</v>
      </c>
      <c r="E31" s="22">
        <v>21</v>
      </c>
      <c r="F31" s="22"/>
      <c r="G31" s="22"/>
      <c r="H31" s="22"/>
      <c r="I31" s="22"/>
      <c r="J31" s="22"/>
      <c r="K31" s="22"/>
      <c r="L31" s="22"/>
      <c r="M31" s="22"/>
      <c r="N31" s="22"/>
      <c r="O31" s="23">
        <v>1</v>
      </c>
      <c r="P31" s="23"/>
      <c r="Q31" s="23"/>
      <c r="R31" s="23"/>
      <c r="S31" s="23"/>
      <c r="T31" s="23"/>
      <c r="U31" s="23"/>
      <c r="V31" s="23"/>
      <c r="W31" s="23"/>
      <c r="X31" s="23"/>
    </row>
    <row r="32" spans="1:24" x14ac:dyDescent="0.2">
      <c r="A32" s="24" t="s">
        <v>36</v>
      </c>
      <c r="B32" s="24">
        <v>22</v>
      </c>
      <c r="C32" s="24">
        <f>'Ziegler Data'!P32</f>
        <v>4.5190000000000001</v>
      </c>
      <c r="D32" s="25">
        <v>1</v>
      </c>
      <c r="E32" s="22">
        <v>22</v>
      </c>
      <c r="F32" s="22"/>
      <c r="G32" s="22"/>
      <c r="H32" s="22"/>
      <c r="I32" s="22"/>
      <c r="J32" s="22"/>
      <c r="K32" s="22"/>
      <c r="L32" s="22"/>
      <c r="M32" s="22"/>
      <c r="N32" s="22"/>
      <c r="O32" s="23">
        <v>1</v>
      </c>
      <c r="P32" s="23"/>
      <c r="Q32" s="23"/>
      <c r="R32" s="23"/>
      <c r="S32" s="23"/>
      <c r="T32" s="23"/>
      <c r="U32" s="23"/>
      <c r="V32" s="23"/>
      <c r="W32" s="23"/>
      <c r="X32" s="23"/>
    </row>
    <row r="33" spans="1:24" x14ac:dyDescent="0.2">
      <c r="A33" s="24" t="s">
        <v>37</v>
      </c>
      <c r="B33" s="24">
        <v>23</v>
      </c>
      <c r="C33" s="24">
        <f>'Ziegler Data'!P33</f>
        <v>6.101</v>
      </c>
      <c r="D33" s="25">
        <v>1</v>
      </c>
      <c r="E33" s="22">
        <v>23</v>
      </c>
      <c r="F33" s="22"/>
      <c r="G33" s="22"/>
      <c r="H33" s="22"/>
      <c r="I33" s="22"/>
      <c r="J33" s="22"/>
      <c r="K33" s="22"/>
      <c r="L33" s="22"/>
      <c r="M33" s="22"/>
      <c r="N33" s="22"/>
      <c r="O33" s="23">
        <v>1</v>
      </c>
      <c r="P33" s="23"/>
      <c r="Q33" s="23"/>
      <c r="R33" s="23"/>
      <c r="S33" s="23"/>
      <c r="T33" s="23"/>
      <c r="U33" s="23"/>
      <c r="V33" s="23"/>
      <c r="W33" s="23"/>
      <c r="X33" s="23"/>
    </row>
    <row r="34" spans="1:24" x14ac:dyDescent="0.2">
      <c r="A34" s="24" t="s">
        <v>38</v>
      </c>
      <c r="B34" s="24">
        <v>24</v>
      </c>
      <c r="C34" s="24">
        <f>'Ziegler Data'!P34</f>
        <v>7.1920000000000002</v>
      </c>
      <c r="D34" s="25">
        <v>1</v>
      </c>
      <c r="E34" s="22">
        <v>24</v>
      </c>
      <c r="F34" s="22"/>
      <c r="G34" s="22"/>
      <c r="H34" s="22"/>
      <c r="I34" s="22"/>
      <c r="J34" s="22"/>
      <c r="K34" s="22"/>
      <c r="L34" s="22"/>
      <c r="M34" s="22"/>
      <c r="N34" s="22"/>
      <c r="O34" s="23">
        <v>1</v>
      </c>
      <c r="P34" s="23"/>
      <c r="Q34" s="23"/>
      <c r="R34" s="23"/>
      <c r="S34" s="23"/>
      <c r="T34" s="23"/>
      <c r="U34" s="23"/>
      <c r="V34" s="23"/>
      <c r="W34" s="23"/>
      <c r="X34" s="23"/>
    </row>
    <row r="35" spans="1:24" x14ac:dyDescent="0.2">
      <c r="A35" s="24" t="s">
        <v>50</v>
      </c>
      <c r="B35" s="24">
        <v>25</v>
      </c>
      <c r="C35" s="24">
        <f>'Ziegler Data'!P35</f>
        <v>7.4340000000000002</v>
      </c>
      <c r="D35" s="25">
        <v>1</v>
      </c>
      <c r="E35" s="22">
        <v>25</v>
      </c>
      <c r="F35" s="22"/>
      <c r="G35" s="22"/>
      <c r="H35" s="22"/>
      <c r="I35" s="22"/>
      <c r="J35" s="22"/>
      <c r="K35" s="22"/>
      <c r="L35" s="22"/>
      <c r="M35" s="22"/>
      <c r="N35" s="22"/>
      <c r="O35" s="23">
        <v>1</v>
      </c>
      <c r="P35" s="23"/>
      <c r="Q35" s="23"/>
      <c r="R35" s="23"/>
      <c r="S35" s="23"/>
      <c r="T35" s="23"/>
      <c r="U35" s="23"/>
      <c r="V35" s="23"/>
      <c r="W35" s="23"/>
      <c r="X35" s="23"/>
    </row>
    <row r="36" spans="1:24" x14ac:dyDescent="0.2">
      <c r="A36" s="24" t="s">
        <v>39</v>
      </c>
      <c r="B36" s="24">
        <v>26</v>
      </c>
      <c r="C36" s="24">
        <f>'Ziegler Data'!P36</f>
        <v>7.8659999999999997</v>
      </c>
      <c r="D36" s="25">
        <v>1</v>
      </c>
      <c r="E36" s="22">
        <v>26</v>
      </c>
      <c r="F36" s="22"/>
      <c r="G36" s="22"/>
      <c r="H36" s="22"/>
      <c r="I36" s="22"/>
      <c r="J36" s="22"/>
      <c r="K36" s="22"/>
      <c r="L36" s="22"/>
      <c r="M36" s="22"/>
      <c r="N36" s="22"/>
      <c r="O36" s="23">
        <v>1</v>
      </c>
      <c r="P36" s="23"/>
      <c r="Q36" s="23"/>
      <c r="R36" s="23"/>
      <c r="S36" s="23"/>
      <c r="T36" s="23"/>
      <c r="U36" s="23"/>
      <c r="V36" s="23"/>
      <c r="W36" s="23"/>
      <c r="X36" s="23"/>
    </row>
    <row r="37" spans="1:24" x14ac:dyDescent="0.2">
      <c r="A37" s="24" t="s">
        <v>40</v>
      </c>
      <c r="B37" s="24">
        <v>27</v>
      </c>
      <c r="C37" s="24">
        <f>'Ziegler Data'!P37</f>
        <v>8.7959999999999994</v>
      </c>
      <c r="D37" s="25">
        <v>1</v>
      </c>
      <c r="E37" s="22">
        <v>27</v>
      </c>
      <c r="F37" s="22"/>
      <c r="G37" s="22"/>
      <c r="H37" s="22"/>
      <c r="I37" s="22"/>
      <c r="J37" s="22"/>
      <c r="K37" s="22"/>
      <c r="L37" s="22"/>
      <c r="M37" s="22"/>
      <c r="N37" s="22"/>
      <c r="O37" s="23">
        <v>1</v>
      </c>
      <c r="P37" s="23"/>
      <c r="Q37" s="23"/>
      <c r="R37" s="23"/>
      <c r="S37" s="23"/>
      <c r="T37" s="23"/>
      <c r="U37" s="23"/>
      <c r="V37" s="23"/>
      <c r="W37" s="23"/>
      <c r="X37" s="23"/>
    </row>
    <row r="38" spans="1:24" x14ac:dyDescent="0.2">
      <c r="A38" s="24" t="s">
        <v>41</v>
      </c>
      <c r="B38" s="24">
        <v>28</v>
      </c>
      <c r="C38" s="24">
        <f>'Ziegler Data'!P38</f>
        <v>8.8949999999999996</v>
      </c>
      <c r="D38" s="25">
        <v>1</v>
      </c>
      <c r="E38" s="22">
        <v>28</v>
      </c>
      <c r="F38" s="22"/>
      <c r="G38" s="22"/>
      <c r="H38" s="22"/>
      <c r="I38" s="22"/>
      <c r="J38" s="22"/>
      <c r="K38" s="22"/>
      <c r="L38" s="22"/>
      <c r="M38" s="22"/>
      <c r="N38" s="22"/>
      <c r="O38" s="23">
        <v>1</v>
      </c>
      <c r="P38" s="23"/>
      <c r="Q38" s="23"/>
      <c r="R38" s="23"/>
      <c r="S38" s="23"/>
      <c r="T38" s="23"/>
      <c r="U38" s="23"/>
      <c r="V38" s="23"/>
      <c r="W38" s="23"/>
      <c r="X38" s="23"/>
    </row>
    <row r="39" spans="1:24" x14ac:dyDescent="0.2">
      <c r="A39" s="24" t="s">
        <v>42</v>
      </c>
      <c r="B39" s="24">
        <v>29</v>
      </c>
      <c r="C39" s="24">
        <f>'Ziegler Data'!P39</f>
        <v>8.9489999999999998</v>
      </c>
      <c r="D39" s="25">
        <v>1</v>
      </c>
      <c r="E39" s="22">
        <v>29</v>
      </c>
      <c r="F39" s="22"/>
      <c r="G39" s="22"/>
      <c r="H39" s="22"/>
      <c r="I39" s="22"/>
      <c r="J39" s="22"/>
      <c r="K39" s="22"/>
      <c r="L39" s="22"/>
      <c r="M39" s="22"/>
      <c r="N39" s="22"/>
      <c r="O39" s="23">
        <v>1</v>
      </c>
      <c r="P39" s="23"/>
      <c r="Q39" s="23"/>
      <c r="R39" s="23"/>
      <c r="S39" s="23"/>
      <c r="T39" s="23"/>
      <c r="U39" s="23"/>
      <c r="V39" s="23"/>
      <c r="W39" s="23"/>
      <c r="X39" s="23"/>
    </row>
    <row r="40" spans="1:24" x14ac:dyDescent="0.2">
      <c r="A40" s="24" t="s">
        <v>43</v>
      </c>
      <c r="B40" s="24">
        <v>30</v>
      </c>
      <c r="C40" s="24">
        <f>'Ziegler Data'!P40</f>
        <v>7.1050000000000004</v>
      </c>
      <c r="D40" s="25">
        <v>1</v>
      </c>
      <c r="E40" s="22">
        <v>30</v>
      </c>
      <c r="F40" s="22"/>
      <c r="G40" s="22"/>
      <c r="H40" s="22"/>
      <c r="I40" s="22"/>
      <c r="J40" s="22"/>
      <c r="K40" s="22"/>
      <c r="L40" s="22"/>
      <c r="M40" s="22"/>
      <c r="N40" s="22"/>
      <c r="O40" s="23">
        <v>1</v>
      </c>
      <c r="P40" s="23"/>
      <c r="Q40" s="23"/>
      <c r="R40" s="23"/>
      <c r="S40" s="23"/>
      <c r="T40" s="23"/>
      <c r="U40" s="23"/>
      <c r="V40" s="23"/>
      <c r="W40" s="23"/>
      <c r="X40" s="23"/>
    </row>
    <row r="41" spans="1:24" x14ac:dyDescent="0.2">
      <c r="A41" s="24" t="s">
        <v>44</v>
      </c>
      <c r="B41" s="24">
        <v>31</v>
      </c>
      <c r="C41" s="24">
        <f>'Ziegler Data'!P41</f>
        <v>5.9080000000000004</v>
      </c>
      <c r="D41" s="25">
        <v>1</v>
      </c>
      <c r="E41" s="22">
        <v>31</v>
      </c>
      <c r="F41" s="22"/>
      <c r="G41" s="22"/>
      <c r="H41" s="22"/>
      <c r="I41" s="22"/>
      <c r="J41" s="22"/>
      <c r="K41" s="22"/>
      <c r="L41" s="22"/>
      <c r="M41" s="22"/>
      <c r="N41" s="22"/>
      <c r="O41" s="23">
        <v>1</v>
      </c>
      <c r="P41" s="23"/>
      <c r="Q41" s="23"/>
      <c r="R41" s="23"/>
      <c r="S41" s="23"/>
      <c r="T41" s="23"/>
      <c r="U41" s="23"/>
      <c r="V41" s="23"/>
      <c r="W41" s="23"/>
      <c r="X41" s="23"/>
    </row>
    <row r="42" spans="1:24" x14ac:dyDescent="0.2">
      <c r="A42" s="24" t="s">
        <v>45</v>
      </c>
      <c r="B42" s="24">
        <v>32</v>
      </c>
      <c r="C42" s="24">
        <f>'Ziegler Data'!P42</f>
        <v>5.3380000000000001</v>
      </c>
      <c r="D42" s="25">
        <v>1</v>
      </c>
      <c r="E42" s="22">
        <v>32</v>
      </c>
      <c r="F42" s="22"/>
      <c r="G42" s="22"/>
      <c r="H42" s="22"/>
      <c r="I42" s="22"/>
      <c r="J42" s="22"/>
      <c r="K42" s="22"/>
      <c r="L42" s="22"/>
      <c r="M42" s="22"/>
      <c r="N42" s="22"/>
      <c r="O42" s="23">
        <v>1</v>
      </c>
      <c r="P42" s="23"/>
      <c r="Q42" s="23"/>
      <c r="R42" s="23"/>
      <c r="S42" s="23"/>
      <c r="T42" s="23"/>
      <c r="U42" s="23"/>
      <c r="V42" s="23"/>
      <c r="W42" s="23"/>
      <c r="X42" s="23"/>
    </row>
    <row r="43" spans="1:24" x14ac:dyDescent="0.2">
      <c r="A43" s="24" t="s">
        <v>46</v>
      </c>
      <c r="B43" s="24">
        <v>33</v>
      </c>
      <c r="C43" s="24">
        <f>'Ziegler Data'!P43</f>
        <v>5.7190000000000003</v>
      </c>
      <c r="D43" s="25">
        <v>1</v>
      </c>
      <c r="E43" s="22">
        <v>33</v>
      </c>
      <c r="F43" s="22"/>
      <c r="G43" s="22"/>
      <c r="H43" s="22"/>
      <c r="I43" s="22"/>
      <c r="J43" s="22"/>
      <c r="K43" s="22"/>
      <c r="L43" s="22"/>
      <c r="M43" s="22"/>
      <c r="N43" s="22"/>
      <c r="O43" s="23">
        <v>1</v>
      </c>
      <c r="P43" s="23"/>
      <c r="Q43" s="23"/>
      <c r="R43" s="23"/>
      <c r="S43" s="23"/>
      <c r="T43" s="23"/>
      <c r="U43" s="23"/>
      <c r="V43" s="23"/>
      <c r="W43" s="23"/>
      <c r="X43" s="23"/>
    </row>
    <row r="44" spans="1:24" x14ac:dyDescent="0.2">
      <c r="A44" s="24" t="s">
        <v>47</v>
      </c>
      <c r="B44" s="24">
        <v>34</v>
      </c>
      <c r="C44" s="24">
        <f>'Ziegler Data'!P44</f>
        <v>4.7850000000000001</v>
      </c>
      <c r="D44" s="25">
        <v>1</v>
      </c>
      <c r="E44" s="22">
        <v>34</v>
      </c>
      <c r="F44" s="22"/>
      <c r="G44" s="22"/>
      <c r="H44" s="22"/>
      <c r="I44" s="22"/>
      <c r="J44" s="22"/>
      <c r="K44" s="22"/>
      <c r="L44" s="22"/>
      <c r="M44" s="22"/>
      <c r="N44" s="22"/>
      <c r="O44" s="23">
        <v>1</v>
      </c>
      <c r="P44" s="23"/>
      <c r="Q44" s="23"/>
      <c r="R44" s="23"/>
      <c r="S44" s="23"/>
      <c r="T44" s="23"/>
      <c r="U44" s="23"/>
      <c r="V44" s="23"/>
      <c r="W44" s="23"/>
      <c r="X44" s="23"/>
    </row>
    <row r="45" spans="1:24" x14ac:dyDescent="0.2">
      <c r="A45" s="24" t="s">
        <v>48</v>
      </c>
      <c r="B45" s="24">
        <v>35</v>
      </c>
      <c r="C45" s="24">
        <f>'Ziegler Data'!P45</f>
        <v>3.4</v>
      </c>
      <c r="D45" s="25">
        <v>1</v>
      </c>
      <c r="E45" s="22">
        <v>35</v>
      </c>
      <c r="F45" s="22"/>
      <c r="G45" s="22"/>
      <c r="H45" s="22"/>
      <c r="I45" s="22"/>
      <c r="J45" s="22"/>
      <c r="K45" s="22"/>
      <c r="L45" s="22"/>
      <c r="M45" s="22"/>
      <c r="N45" s="22"/>
      <c r="O45" s="23">
        <v>1</v>
      </c>
      <c r="P45" s="23"/>
      <c r="Q45" s="23"/>
      <c r="R45" s="23"/>
      <c r="S45" s="23"/>
      <c r="T45" s="23"/>
      <c r="U45" s="23"/>
      <c r="V45" s="23"/>
      <c r="W45" s="23"/>
      <c r="X45" s="23"/>
    </row>
    <row r="46" spans="1:24" x14ac:dyDescent="0.2">
      <c r="A46" s="24" t="s">
        <v>49</v>
      </c>
      <c r="B46" s="24">
        <v>36</v>
      </c>
      <c r="C46" s="24">
        <f>'Ziegler Data'!P46</f>
        <v>3.741E-3</v>
      </c>
      <c r="D46" s="25">
        <v>1</v>
      </c>
      <c r="E46" s="22">
        <v>36</v>
      </c>
      <c r="F46" s="22"/>
      <c r="G46" s="22"/>
      <c r="H46" s="22"/>
      <c r="I46" s="22"/>
      <c r="J46" s="22"/>
      <c r="K46" s="22"/>
      <c r="L46" s="22"/>
      <c r="M46" s="22"/>
      <c r="N46" s="22"/>
      <c r="O46" s="23">
        <v>1</v>
      </c>
      <c r="P46" s="23"/>
      <c r="Q46" s="23"/>
      <c r="R46" s="23"/>
      <c r="S46" s="23"/>
      <c r="T46" s="23"/>
      <c r="U46" s="23"/>
      <c r="V46" s="23"/>
      <c r="W46" s="23"/>
      <c r="X46" s="23"/>
    </row>
    <row r="47" spans="1:24" x14ac:dyDescent="0.2">
      <c r="A47" s="24" t="s">
        <v>51</v>
      </c>
      <c r="B47" s="24">
        <v>37</v>
      </c>
      <c r="C47" s="24">
        <f>'Ziegler Data'!P47</f>
        <v>1.5289999999999999</v>
      </c>
      <c r="D47" s="25">
        <v>1</v>
      </c>
      <c r="E47" s="22">
        <v>37</v>
      </c>
      <c r="F47" s="22"/>
      <c r="G47" s="22"/>
      <c r="H47" s="22"/>
      <c r="I47" s="22"/>
      <c r="J47" s="22"/>
      <c r="K47" s="22"/>
      <c r="L47" s="22"/>
      <c r="M47" s="22"/>
      <c r="N47" s="22"/>
      <c r="O47" s="23">
        <v>1</v>
      </c>
      <c r="P47" s="23"/>
      <c r="Q47" s="23"/>
      <c r="R47" s="23"/>
      <c r="S47" s="23"/>
      <c r="T47" s="23"/>
      <c r="U47" s="23"/>
      <c r="V47" s="23"/>
      <c r="W47" s="23"/>
      <c r="X47" s="23"/>
    </row>
    <row r="48" spans="1:24" x14ac:dyDescent="0.2">
      <c r="A48" s="24" t="s">
        <v>52</v>
      </c>
      <c r="B48" s="24">
        <v>38</v>
      </c>
      <c r="C48" s="24">
        <f>'Ziegler Data'!P48</f>
        <v>2.6</v>
      </c>
      <c r="D48" s="25">
        <v>1</v>
      </c>
      <c r="E48" s="22">
        <v>38</v>
      </c>
      <c r="F48" s="22"/>
      <c r="G48" s="22"/>
      <c r="H48" s="22"/>
      <c r="I48" s="22"/>
      <c r="J48" s="22"/>
      <c r="K48" s="22"/>
      <c r="L48" s="22"/>
      <c r="M48" s="22"/>
      <c r="N48" s="22"/>
      <c r="O48" s="23">
        <v>1</v>
      </c>
      <c r="P48" s="23"/>
      <c r="Q48" s="23"/>
      <c r="R48" s="23"/>
      <c r="S48" s="23"/>
      <c r="T48" s="23"/>
      <c r="U48" s="23"/>
      <c r="V48" s="23"/>
      <c r="W48" s="23"/>
      <c r="X48" s="23"/>
    </row>
    <row r="49" spans="1:24" x14ac:dyDescent="0.2">
      <c r="A49" s="24" t="s">
        <v>53</v>
      </c>
      <c r="B49" s="24">
        <v>39</v>
      </c>
      <c r="C49" s="24">
        <f>'Ziegler Data'!P49</f>
        <v>4.49</v>
      </c>
      <c r="D49" s="25">
        <v>1</v>
      </c>
      <c r="E49" s="22">
        <v>39</v>
      </c>
      <c r="F49" s="22"/>
      <c r="G49" s="22"/>
      <c r="H49" s="22"/>
      <c r="I49" s="22"/>
      <c r="J49" s="22"/>
      <c r="K49" s="22"/>
      <c r="L49" s="22"/>
      <c r="M49" s="22"/>
      <c r="N49" s="22"/>
      <c r="O49" s="23">
        <v>1</v>
      </c>
      <c r="P49" s="23"/>
      <c r="Q49" s="23"/>
      <c r="R49" s="23"/>
      <c r="S49" s="23"/>
      <c r="T49" s="23"/>
      <c r="U49" s="23"/>
      <c r="V49" s="23"/>
      <c r="W49" s="23"/>
      <c r="X49" s="23"/>
    </row>
    <row r="50" spans="1:24" x14ac:dyDescent="0.2">
      <c r="A50" s="24" t="s">
        <v>54</v>
      </c>
      <c r="B50" s="24">
        <v>40</v>
      </c>
      <c r="C50" s="24">
        <f>'Ziegler Data'!P50</f>
        <v>6.47</v>
      </c>
      <c r="D50" s="25">
        <v>1</v>
      </c>
      <c r="E50" s="22">
        <v>40</v>
      </c>
      <c r="F50" s="22"/>
      <c r="G50" s="22"/>
      <c r="H50" s="22"/>
      <c r="I50" s="22"/>
      <c r="J50" s="22"/>
      <c r="K50" s="22"/>
      <c r="L50" s="22"/>
      <c r="M50" s="22"/>
      <c r="N50" s="22"/>
      <c r="O50" s="23">
        <v>1</v>
      </c>
      <c r="P50" s="23"/>
      <c r="Q50" s="23"/>
      <c r="R50" s="23"/>
      <c r="S50" s="23"/>
      <c r="T50" s="23"/>
      <c r="U50" s="23"/>
      <c r="V50" s="23"/>
      <c r="W50" s="23"/>
      <c r="X50" s="23"/>
    </row>
    <row r="51" spans="1:24" x14ac:dyDescent="0.2">
      <c r="A51" s="24" t="s">
        <v>55</v>
      </c>
      <c r="B51" s="24">
        <v>41</v>
      </c>
      <c r="C51" s="24">
        <f>'Ziegler Data'!P51</f>
        <v>8.6020000000000003</v>
      </c>
      <c r="D51" s="25">
        <v>1</v>
      </c>
      <c r="E51" s="22">
        <v>41</v>
      </c>
      <c r="F51" s="22"/>
      <c r="G51" s="22"/>
      <c r="H51" s="22"/>
      <c r="I51" s="22"/>
      <c r="J51" s="22"/>
      <c r="K51" s="22"/>
      <c r="L51" s="22"/>
      <c r="M51" s="22"/>
      <c r="N51" s="22"/>
      <c r="O51" s="23">
        <v>1</v>
      </c>
      <c r="P51" s="23"/>
      <c r="Q51" s="23"/>
      <c r="R51" s="23"/>
      <c r="S51" s="23"/>
      <c r="T51" s="23"/>
      <c r="U51" s="23"/>
      <c r="V51" s="23"/>
      <c r="W51" s="23"/>
      <c r="X51" s="23"/>
    </row>
    <row r="52" spans="1:24" x14ac:dyDescent="0.2">
      <c r="A52" s="24" t="s">
        <v>56</v>
      </c>
      <c r="B52" s="24">
        <v>42</v>
      </c>
      <c r="C52" s="24">
        <f>'Ziegler Data'!P52</f>
        <v>10.210000000000001</v>
      </c>
      <c r="D52" s="25">
        <v>1</v>
      </c>
      <c r="E52" s="22">
        <v>42</v>
      </c>
      <c r="F52" s="22"/>
      <c r="G52" s="22"/>
      <c r="H52" s="22"/>
      <c r="I52" s="22"/>
      <c r="J52" s="22"/>
      <c r="K52" s="22"/>
      <c r="L52" s="22"/>
      <c r="M52" s="22"/>
      <c r="N52" s="22"/>
      <c r="O52" s="23">
        <v>1</v>
      </c>
      <c r="P52" s="23"/>
      <c r="Q52" s="23"/>
      <c r="R52" s="23"/>
      <c r="S52" s="23"/>
      <c r="T52" s="23"/>
      <c r="U52" s="23"/>
      <c r="V52" s="23"/>
      <c r="W52" s="23"/>
      <c r="X52" s="23"/>
    </row>
    <row r="53" spans="1:24" x14ac:dyDescent="0.2">
      <c r="A53" s="24" t="s">
        <v>57</v>
      </c>
      <c r="B53" s="24">
        <v>43</v>
      </c>
      <c r="C53" s="24">
        <f>'Ziegler Data'!P53</f>
        <v>11</v>
      </c>
      <c r="D53" s="25">
        <v>1</v>
      </c>
      <c r="E53" s="22">
        <v>43</v>
      </c>
      <c r="F53" s="22"/>
      <c r="G53" s="22"/>
      <c r="H53" s="22"/>
      <c r="I53" s="22"/>
      <c r="J53" s="22"/>
      <c r="K53" s="22"/>
      <c r="L53" s="22"/>
      <c r="M53" s="22"/>
      <c r="N53" s="22"/>
      <c r="O53" s="23">
        <v>1</v>
      </c>
      <c r="P53" s="23"/>
      <c r="Q53" s="23"/>
      <c r="R53" s="23"/>
      <c r="S53" s="23"/>
      <c r="T53" s="23"/>
      <c r="U53" s="23"/>
      <c r="V53" s="23"/>
      <c r="W53" s="23"/>
      <c r="X53" s="23"/>
    </row>
    <row r="54" spans="1:24" x14ac:dyDescent="0.2">
      <c r="A54" s="24" t="s">
        <v>58</v>
      </c>
      <c r="B54" s="24">
        <v>44</v>
      </c>
      <c r="C54" s="24">
        <f>'Ziegler Data'!P54</f>
        <v>12.18</v>
      </c>
      <c r="D54" s="25">
        <v>1</v>
      </c>
      <c r="E54" s="22">
        <v>44</v>
      </c>
      <c r="F54" s="22"/>
      <c r="G54" s="22"/>
      <c r="H54" s="22"/>
      <c r="I54" s="22"/>
      <c r="J54" s="22"/>
      <c r="K54" s="22"/>
      <c r="L54" s="22"/>
      <c r="M54" s="22"/>
      <c r="N54" s="22"/>
      <c r="O54" s="23">
        <v>1</v>
      </c>
      <c r="P54" s="23"/>
      <c r="Q54" s="23"/>
      <c r="R54" s="23"/>
      <c r="S54" s="23"/>
      <c r="T54" s="23"/>
      <c r="U54" s="23"/>
      <c r="V54" s="23"/>
      <c r="W54" s="23"/>
      <c r="X54" s="23"/>
    </row>
    <row r="55" spans="1:24" x14ac:dyDescent="0.2">
      <c r="A55" s="24" t="s">
        <v>59</v>
      </c>
      <c r="B55" s="24">
        <v>45</v>
      </c>
      <c r="C55" s="24">
        <f>'Ziegler Data'!P55</f>
        <v>12.4</v>
      </c>
      <c r="D55" s="25">
        <v>1</v>
      </c>
      <c r="E55" s="22">
        <v>45</v>
      </c>
      <c r="F55" s="22"/>
      <c r="G55" s="22"/>
      <c r="H55" s="22"/>
      <c r="I55" s="22"/>
      <c r="J55" s="22"/>
      <c r="K55" s="22"/>
      <c r="L55" s="22"/>
      <c r="M55" s="22"/>
      <c r="N55" s="22"/>
      <c r="O55" s="23">
        <v>1</v>
      </c>
      <c r="P55" s="23"/>
      <c r="Q55" s="23"/>
      <c r="R55" s="23"/>
      <c r="S55" s="23"/>
      <c r="T55" s="23"/>
      <c r="U55" s="23"/>
      <c r="V55" s="23"/>
      <c r="W55" s="23"/>
      <c r="X55" s="23"/>
    </row>
    <row r="56" spans="1:24" x14ac:dyDescent="0.2">
      <c r="A56" s="24" t="s">
        <v>60</v>
      </c>
      <c r="B56" s="24">
        <v>46</v>
      </c>
      <c r="C56" s="24">
        <f>'Ziegler Data'!P56</f>
        <v>11.96</v>
      </c>
      <c r="D56" s="25">
        <v>1</v>
      </c>
      <c r="E56" s="22">
        <v>46</v>
      </c>
      <c r="F56" s="22"/>
      <c r="G56" s="22"/>
      <c r="H56" s="22"/>
      <c r="I56" s="22"/>
      <c r="J56" s="22"/>
      <c r="K56" s="22"/>
      <c r="L56" s="22"/>
      <c r="M56" s="22"/>
      <c r="N56" s="22"/>
      <c r="O56" s="23">
        <v>1</v>
      </c>
      <c r="P56" s="23"/>
      <c r="Q56" s="23"/>
      <c r="R56" s="23"/>
      <c r="S56" s="23"/>
      <c r="T56" s="23"/>
      <c r="U56" s="23"/>
      <c r="V56" s="23"/>
      <c r="W56" s="23"/>
      <c r="X56" s="23"/>
    </row>
    <row r="57" spans="1:24" x14ac:dyDescent="0.2">
      <c r="A57" s="24" t="s">
        <v>61</v>
      </c>
      <c r="B57" s="24">
        <v>47</v>
      </c>
      <c r="C57" s="24">
        <f>'Ziegler Data'!P57</f>
        <v>10.47</v>
      </c>
      <c r="D57" s="25">
        <v>1</v>
      </c>
      <c r="E57" s="22">
        <v>47</v>
      </c>
      <c r="F57" s="22"/>
      <c r="G57" s="22"/>
      <c r="H57" s="22"/>
      <c r="I57" s="22"/>
      <c r="J57" s="22"/>
      <c r="K57" s="22"/>
      <c r="L57" s="22"/>
      <c r="M57" s="22"/>
      <c r="N57" s="22"/>
      <c r="O57" s="23">
        <v>1</v>
      </c>
      <c r="P57" s="23"/>
      <c r="Q57" s="23"/>
      <c r="R57" s="23"/>
      <c r="S57" s="23"/>
      <c r="T57" s="23"/>
      <c r="U57" s="23"/>
      <c r="V57" s="23"/>
      <c r="W57" s="23"/>
      <c r="X57" s="23"/>
    </row>
    <row r="58" spans="1:24" x14ac:dyDescent="0.2">
      <c r="A58" s="24" t="s">
        <v>62</v>
      </c>
      <c r="B58" s="24">
        <v>48</v>
      </c>
      <c r="C58" s="24">
        <f>'Ziegler Data'!P58</f>
        <v>8.58</v>
      </c>
      <c r="D58" s="25">
        <v>1</v>
      </c>
      <c r="E58" s="22">
        <v>48</v>
      </c>
      <c r="F58" s="22"/>
      <c r="G58" s="22"/>
      <c r="H58" s="22"/>
      <c r="I58" s="22"/>
      <c r="J58" s="22"/>
      <c r="K58" s="22"/>
      <c r="L58" s="22"/>
      <c r="M58" s="22"/>
      <c r="N58" s="22"/>
      <c r="O58" s="23">
        <v>1</v>
      </c>
      <c r="P58" s="23"/>
      <c r="Q58" s="23"/>
      <c r="R58" s="23"/>
      <c r="S58" s="23"/>
      <c r="T58" s="23"/>
      <c r="U58" s="23"/>
      <c r="V58" s="23"/>
      <c r="W58" s="23"/>
      <c r="X58" s="23"/>
    </row>
    <row r="59" spans="1:24" x14ac:dyDescent="0.2">
      <c r="A59" s="24" t="s">
        <v>63</v>
      </c>
      <c r="B59" s="24">
        <v>49</v>
      </c>
      <c r="C59" s="24">
        <f>'Ziegler Data'!P59</f>
        <v>7.3129999999999997</v>
      </c>
      <c r="D59" s="25">
        <v>1</v>
      </c>
      <c r="E59" s="22">
        <v>49</v>
      </c>
      <c r="F59" s="22"/>
      <c r="G59" s="22"/>
      <c r="H59" s="22"/>
      <c r="I59" s="22"/>
      <c r="J59" s="22"/>
      <c r="K59" s="22"/>
      <c r="L59" s="22"/>
      <c r="M59" s="22"/>
      <c r="N59" s="22"/>
      <c r="O59" s="23">
        <v>1</v>
      </c>
      <c r="P59" s="23"/>
      <c r="Q59" s="23"/>
      <c r="R59" s="23"/>
      <c r="S59" s="23"/>
      <c r="T59" s="23"/>
      <c r="U59" s="23"/>
      <c r="V59" s="23"/>
      <c r="W59" s="23"/>
      <c r="X59" s="23"/>
    </row>
    <row r="60" spans="1:24" x14ac:dyDescent="0.2">
      <c r="A60" s="24" t="s">
        <v>64</v>
      </c>
      <c r="B60" s="24">
        <v>50</v>
      </c>
      <c r="C60" s="24">
        <f>'Ziegler Data'!P60</f>
        <v>7.282</v>
      </c>
      <c r="D60" s="25">
        <v>1</v>
      </c>
      <c r="E60" s="22">
        <v>50</v>
      </c>
      <c r="F60" s="22"/>
      <c r="G60" s="22"/>
      <c r="H60" s="22"/>
      <c r="I60" s="22"/>
      <c r="J60" s="22"/>
      <c r="K60" s="22"/>
      <c r="L60" s="22"/>
      <c r="M60" s="22"/>
      <c r="N60" s="22"/>
      <c r="O60" s="23">
        <v>1</v>
      </c>
      <c r="P60" s="23"/>
      <c r="Q60" s="23"/>
      <c r="R60" s="23"/>
      <c r="S60" s="23"/>
      <c r="T60" s="23"/>
      <c r="U60" s="23"/>
      <c r="V60" s="23"/>
      <c r="W60" s="23"/>
      <c r="X60" s="23"/>
    </row>
    <row r="61" spans="1:24" x14ac:dyDescent="0.2">
      <c r="A61" s="24" t="s">
        <v>65</v>
      </c>
      <c r="B61" s="24">
        <v>51</v>
      </c>
      <c r="C61" s="24">
        <f>'Ziegler Data'!P61</f>
        <v>6.617</v>
      </c>
      <c r="D61" s="25">
        <v>1</v>
      </c>
      <c r="E61" s="22">
        <v>51</v>
      </c>
      <c r="F61" s="22"/>
      <c r="G61" s="22"/>
      <c r="H61" s="22"/>
      <c r="I61" s="22"/>
      <c r="J61" s="22"/>
      <c r="K61" s="22"/>
      <c r="L61" s="22"/>
      <c r="M61" s="22"/>
      <c r="N61" s="22"/>
      <c r="O61" s="23">
        <v>1</v>
      </c>
      <c r="P61" s="23"/>
      <c r="Q61" s="23"/>
      <c r="R61" s="23"/>
      <c r="S61" s="23"/>
      <c r="T61" s="23"/>
      <c r="U61" s="23"/>
      <c r="V61" s="23"/>
      <c r="W61" s="23"/>
      <c r="X61" s="23"/>
    </row>
    <row r="62" spans="1:24" x14ac:dyDescent="0.2">
      <c r="A62" s="24" t="s">
        <v>66</v>
      </c>
      <c r="B62" s="24">
        <v>52</v>
      </c>
      <c r="C62" s="24">
        <f>'Ziegler Data'!P62</f>
        <v>6.2240000000000002</v>
      </c>
      <c r="D62" s="25">
        <v>1</v>
      </c>
      <c r="E62" s="22">
        <v>52</v>
      </c>
      <c r="F62" s="22"/>
      <c r="G62" s="22"/>
      <c r="H62" s="22"/>
      <c r="I62" s="22"/>
      <c r="J62" s="22"/>
      <c r="K62" s="22"/>
      <c r="L62" s="22"/>
      <c r="M62" s="22"/>
      <c r="N62" s="22"/>
      <c r="O62" s="23">
        <v>1</v>
      </c>
      <c r="P62" s="23"/>
      <c r="Q62" s="23"/>
      <c r="R62" s="23"/>
      <c r="S62" s="23"/>
      <c r="T62" s="23"/>
      <c r="U62" s="23"/>
      <c r="V62" s="23"/>
      <c r="W62" s="23"/>
      <c r="X62" s="23"/>
    </row>
    <row r="63" spans="1:24" x14ac:dyDescent="0.2">
      <c r="A63" s="24" t="s">
        <v>67</v>
      </c>
      <c r="B63" s="24">
        <v>53</v>
      </c>
      <c r="C63" s="24">
        <f>'Ziegler Data'!P63</f>
        <v>4.9379999999999997</v>
      </c>
      <c r="D63" s="25">
        <v>1</v>
      </c>
      <c r="E63" s="22">
        <v>53</v>
      </c>
      <c r="F63" s="22"/>
      <c r="G63" s="22"/>
      <c r="H63" s="22"/>
      <c r="I63" s="22"/>
      <c r="J63" s="22"/>
      <c r="K63" s="22"/>
      <c r="L63" s="22"/>
      <c r="M63" s="22"/>
      <c r="N63" s="22"/>
      <c r="O63" s="23">
        <v>1</v>
      </c>
      <c r="P63" s="23"/>
      <c r="Q63" s="23"/>
      <c r="R63" s="23"/>
      <c r="S63" s="23"/>
      <c r="T63" s="23"/>
      <c r="U63" s="23"/>
      <c r="V63" s="23"/>
      <c r="W63" s="23"/>
      <c r="X63" s="23"/>
    </row>
    <row r="64" spans="1:24" x14ac:dyDescent="0.2">
      <c r="A64" s="24" t="s">
        <v>68</v>
      </c>
      <c r="B64" s="24">
        <v>54</v>
      </c>
      <c r="C64" s="24">
        <f>'Ziegler Data'!P64</f>
        <v>5.8609999999999999E-3</v>
      </c>
      <c r="D64" s="25">
        <v>1</v>
      </c>
      <c r="E64" s="22">
        <v>54</v>
      </c>
      <c r="F64" s="22"/>
      <c r="G64" s="22"/>
      <c r="H64" s="22"/>
      <c r="I64" s="22"/>
      <c r="J64" s="22"/>
      <c r="K64" s="22"/>
      <c r="L64" s="22"/>
      <c r="M64" s="22"/>
      <c r="N64" s="22"/>
      <c r="O64" s="23">
        <v>1</v>
      </c>
      <c r="P64" s="23"/>
      <c r="Q64" s="23"/>
      <c r="R64" s="23"/>
      <c r="S64" s="23"/>
      <c r="T64" s="23"/>
      <c r="U64" s="23"/>
      <c r="V64" s="23"/>
      <c r="W64" s="23"/>
      <c r="X64" s="23"/>
    </row>
    <row r="65" spans="1:24" x14ac:dyDescent="0.2">
      <c r="A65" s="24" t="s">
        <v>69</v>
      </c>
      <c r="B65" s="24">
        <v>55</v>
      </c>
      <c r="C65" s="24">
        <f>'Ziegler Data'!P65</f>
        <v>1.899</v>
      </c>
      <c r="D65" s="25">
        <v>1</v>
      </c>
      <c r="E65" s="22">
        <v>55</v>
      </c>
      <c r="F65" s="22"/>
      <c r="G65" s="22"/>
      <c r="H65" s="22"/>
      <c r="I65" s="22"/>
      <c r="J65" s="22"/>
      <c r="K65" s="22"/>
      <c r="L65" s="22"/>
      <c r="M65" s="22"/>
      <c r="N65" s="22"/>
      <c r="O65" s="23">
        <v>1</v>
      </c>
      <c r="P65" s="23"/>
      <c r="Q65" s="23"/>
      <c r="R65" s="23"/>
      <c r="S65" s="23"/>
      <c r="T65" s="23"/>
      <c r="U65" s="23"/>
      <c r="V65" s="23"/>
      <c r="W65" s="23"/>
      <c r="X65" s="23"/>
    </row>
    <row r="66" spans="1:24" x14ac:dyDescent="0.2">
      <c r="A66" s="24" t="s">
        <v>70</v>
      </c>
      <c r="B66" s="24">
        <v>56</v>
      </c>
      <c r="C66" s="24">
        <f>'Ziegler Data'!P66</f>
        <v>3.5219999999999998</v>
      </c>
      <c r="D66" s="25">
        <v>1</v>
      </c>
      <c r="E66" s="22">
        <v>56</v>
      </c>
      <c r="F66" s="22"/>
      <c r="G66" s="22"/>
      <c r="H66" s="22"/>
      <c r="I66" s="22"/>
      <c r="J66" s="22"/>
      <c r="K66" s="22"/>
      <c r="L66" s="22"/>
      <c r="M66" s="22"/>
      <c r="N66" s="22"/>
      <c r="O66" s="23">
        <v>1</v>
      </c>
      <c r="P66" s="23"/>
      <c r="Q66" s="23"/>
      <c r="R66" s="23"/>
      <c r="S66" s="23"/>
      <c r="T66" s="23"/>
      <c r="U66" s="23"/>
      <c r="V66" s="23"/>
      <c r="W66" s="23"/>
      <c r="X66" s="23"/>
    </row>
    <row r="67" spans="1:24" x14ac:dyDescent="0.2">
      <c r="A67" s="24" t="s">
        <v>71</v>
      </c>
      <c r="B67" s="24">
        <v>57</v>
      </c>
      <c r="C67" s="24">
        <f>'Ziegler Data'!P67</f>
        <v>6.1740000000000004</v>
      </c>
      <c r="D67" s="25">
        <v>1</v>
      </c>
      <c r="E67" s="22">
        <v>57</v>
      </c>
      <c r="F67" s="22"/>
      <c r="G67" s="22"/>
      <c r="H67" s="22"/>
      <c r="I67" s="22"/>
      <c r="J67" s="22"/>
      <c r="K67" s="22"/>
      <c r="L67" s="22"/>
      <c r="M67" s="22"/>
      <c r="N67" s="22"/>
      <c r="O67" s="23">
        <v>1</v>
      </c>
      <c r="P67" s="23"/>
      <c r="Q67" s="23"/>
      <c r="R67" s="23"/>
      <c r="S67" s="23"/>
      <c r="T67" s="23"/>
      <c r="U67" s="23"/>
      <c r="V67" s="23"/>
      <c r="W67" s="23"/>
      <c r="X67" s="23"/>
    </row>
    <row r="68" spans="1:24" x14ac:dyDescent="0.2">
      <c r="A68" s="24" t="s">
        <v>72</v>
      </c>
      <c r="B68" s="24">
        <v>58</v>
      </c>
      <c r="C68" s="24">
        <f>'Ziegler Data'!P68</f>
        <v>6.6719999999999997</v>
      </c>
      <c r="D68" s="25">
        <v>1</v>
      </c>
      <c r="E68" s="22">
        <v>58</v>
      </c>
      <c r="F68" s="22"/>
      <c r="G68" s="22"/>
      <c r="H68" s="22"/>
      <c r="I68" s="22"/>
      <c r="J68" s="22"/>
      <c r="K68" s="22"/>
      <c r="L68" s="22"/>
      <c r="M68" s="22"/>
      <c r="N68" s="22"/>
      <c r="O68" s="23">
        <v>1</v>
      </c>
      <c r="P68" s="23"/>
      <c r="Q68" s="23"/>
      <c r="R68" s="23"/>
      <c r="S68" s="23"/>
      <c r="T68" s="23"/>
      <c r="U68" s="23"/>
      <c r="V68" s="23"/>
      <c r="W68" s="23"/>
      <c r="X68" s="23"/>
    </row>
    <row r="69" spans="1:24" x14ac:dyDescent="0.2">
      <c r="A69" s="24" t="s">
        <v>73</v>
      </c>
      <c r="B69" s="24">
        <v>59</v>
      </c>
      <c r="C69" s="24">
        <f>'Ziegler Data'!P69</f>
        <v>6.774</v>
      </c>
      <c r="D69" s="25">
        <v>1</v>
      </c>
      <c r="E69" s="22">
        <v>59</v>
      </c>
      <c r="F69" s="22"/>
      <c r="G69" s="22"/>
      <c r="H69" s="22"/>
      <c r="I69" s="22"/>
      <c r="J69" s="22"/>
      <c r="K69" s="22"/>
      <c r="L69" s="22"/>
      <c r="M69" s="22"/>
      <c r="N69" s="22"/>
      <c r="O69" s="23">
        <v>1</v>
      </c>
      <c r="P69" s="23"/>
      <c r="Q69" s="23"/>
      <c r="R69" s="23"/>
      <c r="S69" s="23"/>
      <c r="T69" s="23"/>
      <c r="U69" s="23"/>
      <c r="V69" s="23"/>
      <c r="W69" s="23"/>
      <c r="X69" s="23"/>
    </row>
    <row r="70" spans="1:24" x14ac:dyDescent="0.2">
      <c r="A70" s="24" t="s">
        <v>74</v>
      </c>
      <c r="B70" s="24">
        <v>60</v>
      </c>
      <c r="C70" s="24">
        <f>'Ziegler Data'!P70</f>
        <v>7.0019999999999998</v>
      </c>
      <c r="D70" s="25">
        <v>1</v>
      </c>
      <c r="E70" s="22">
        <v>60</v>
      </c>
      <c r="F70" s="22"/>
      <c r="G70" s="22"/>
      <c r="H70" s="22"/>
      <c r="I70" s="22"/>
      <c r="J70" s="22"/>
      <c r="K70" s="22"/>
      <c r="L70" s="22"/>
      <c r="M70" s="22"/>
      <c r="N70" s="22"/>
      <c r="O70" s="23">
        <v>1</v>
      </c>
      <c r="P70" s="23"/>
      <c r="Q70" s="23"/>
      <c r="R70" s="23"/>
      <c r="S70" s="23"/>
      <c r="T70" s="23"/>
      <c r="U70" s="23"/>
      <c r="V70" s="23"/>
      <c r="W70" s="23"/>
      <c r="X70" s="23"/>
    </row>
    <row r="71" spans="1:24" x14ac:dyDescent="0.2">
      <c r="A71" s="24" t="s">
        <v>77</v>
      </c>
      <c r="B71" s="24">
        <v>61</v>
      </c>
      <c r="C71" s="24">
        <f>'Ziegler Data'!P71</f>
        <v>7</v>
      </c>
      <c r="D71" s="25">
        <v>1</v>
      </c>
      <c r="E71" s="22">
        <v>61</v>
      </c>
      <c r="F71" s="22"/>
      <c r="G71" s="22"/>
      <c r="H71" s="22"/>
      <c r="I71" s="22"/>
      <c r="J71" s="22"/>
      <c r="K71" s="22"/>
      <c r="L71" s="22"/>
      <c r="M71" s="22"/>
      <c r="N71" s="22"/>
      <c r="O71" s="23">
        <v>1</v>
      </c>
      <c r="P71" s="23"/>
      <c r="Q71" s="23"/>
      <c r="R71" s="23"/>
      <c r="S71" s="23"/>
      <c r="T71" s="23"/>
      <c r="U71" s="23"/>
      <c r="V71" s="23"/>
      <c r="W71" s="23"/>
      <c r="X71" s="23"/>
    </row>
    <row r="72" spans="1:24" x14ac:dyDescent="0.2">
      <c r="A72" s="24" t="s">
        <v>75</v>
      </c>
      <c r="B72" s="24">
        <v>62</v>
      </c>
      <c r="C72" s="24">
        <f>'Ziegler Data'!P72</f>
        <v>7.5549999999999997</v>
      </c>
      <c r="D72" s="25">
        <v>1</v>
      </c>
      <c r="E72" s="22">
        <v>62</v>
      </c>
      <c r="F72" s="22"/>
      <c r="G72" s="22"/>
      <c r="H72" s="22"/>
      <c r="I72" s="22"/>
      <c r="J72" s="22"/>
      <c r="K72" s="22"/>
      <c r="L72" s="22"/>
      <c r="M72" s="22"/>
      <c r="N72" s="22"/>
      <c r="O72" s="23">
        <v>1</v>
      </c>
      <c r="P72" s="23"/>
      <c r="Q72" s="23"/>
      <c r="R72" s="23"/>
      <c r="S72" s="23"/>
      <c r="T72" s="23"/>
      <c r="U72" s="23"/>
      <c r="V72" s="23"/>
      <c r="W72" s="23"/>
      <c r="X72" s="23"/>
    </row>
    <row r="73" spans="1:24" x14ac:dyDescent="0.2">
      <c r="A73" s="24" t="s">
        <v>76</v>
      </c>
      <c r="B73" s="24">
        <v>63</v>
      </c>
      <c r="C73" s="24">
        <f>'Ziegler Data'!P73</f>
        <v>5.258</v>
      </c>
      <c r="D73" s="25">
        <v>1</v>
      </c>
      <c r="E73" s="22">
        <v>63</v>
      </c>
      <c r="F73" s="22"/>
      <c r="G73" s="22"/>
      <c r="H73" s="22"/>
      <c r="I73" s="22"/>
      <c r="J73" s="22"/>
      <c r="K73" s="22"/>
      <c r="L73" s="22"/>
      <c r="M73" s="22"/>
      <c r="N73" s="22"/>
      <c r="O73" s="23">
        <v>1</v>
      </c>
      <c r="P73" s="23"/>
      <c r="Q73" s="23"/>
      <c r="R73" s="23"/>
      <c r="S73" s="23"/>
      <c r="T73" s="23"/>
      <c r="U73" s="23"/>
      <c r="V73" s="23"/>
      <c r="W73" s="23"/>
      <c r="X73" s="23"/>
    </row>
    <row r="74" spans="1:24" x14ac:dyDescent="0.2">
      <c r="A74" s="24" t="s">
        <v>78</v>
      </c>
      <c r="B74" s="24">
        <v>64</v>
      </c>
      <c r="C74" s="24">
        <f>'Ziegler Data'!P74</f>
        <v>7.9020000000000001</v>
      </c>
      <c r="D74" s="25">
        <v>1</v>
      </c>
      <c r="E74" s="22">
        <v>64</v>
      </c>
      <c r="F74" s="22"/>
      <c r="G74" s="22"/>
      <c r="H74" s="22"/>
      <c r="I74" s="22"/>
      <c r="J74" s="22"/>
      <c r="K74" s="22"/>
      <c r="L74" s="22"/>
      <c r="M74" s="22"/>
      <c r="N74" s="22"/>
      <c r="O74" s="23">
        <v>1</v>
      </c>
      <c r="P74" s="23"/>
      <c r="Q74" s="23"/>
      <c r="R74" s="23"/>
      <c r="S74" s="23"/>
      <c r="T74" s="23"/>
      <c r="U74" s="23"/>
      <c r="V74" s="23"/>
      <c r="W74" s="23"/>
      <c r="X74" s="23"/>
    </row>
    <row r="75" spans="1:24" x14ac:dyDescent="0.2">
      <c r="A75" s="24" t="s">
        <v>79</v>
      </c>
      <c r="B75" s="24">
        <v>65</v>
      </c>
      <c r="C75" s="24">
        <f>'Ziegler Data'!P75</f>
        <v>8.2769999999999992</v>
      </c>
      <c r="D75" s="25">
        <v>1</v>
      </c>
      <c r="E75" s="22">
        <v>65</v>
      </c>
      <c r="F75" s="22"/>
      <c r="G75" s="22"/>
      <c r="H75" s="22"/>
      <c r="I75" s="22"/>
      <c r="J75" s="22"/>
      <c r="K75" s="22"/>
      <c r="L75" s="22"/>
      <c r="M75" s="22"/>
      <c r="N75" s="22"/>
      <c r="O75" s="23">
        <v>1</v>
      </c>
      <c r="P75" s="23"/>
      <c r="Q75" s="23"/>
      <c r="R75" s="23"/>
      <c r="S75" s="23"/>
      <c r="T75" s="23"/>
      <c r="U75" s="23"/>
      <c r="V75" s="23"/>
      <c r="W75" s="23"/>
      <c r="X75" s="23"/>
    </row>
    <row r="76" spans="1:24" x14ac:dyDescent="0.2">
      <c r="A76" s="24" t="s">
        <v>80</v>
      </c>
      <c r="B76" s="24">
        <v>66</v>
      </c>
      <c r="C76" s="24">
        <f>'Ziegler Data'!P76</f>
        <v>8.5530000000000008</v>
      </c>
      <c r="D76" s="25">
        <v>1</v>
      </c>
      <c r="E76" s="22">
        <v>66</v>
      </c>
      <c r="F76" s="22"/>
      <c r="G76" s="22"/>
      <c r="H76" s="22"/>
      <c r="I76" s="22"/>
      <c r="J76" s="22"/>
      <c r="K76" s="22"/>
      <c r="L76" s="22"/>
      <c r="M76" s="22"/>
      <c r="N76" s="22"/>
      <c r="O76" s="23">
        <v>1</v>
      </c>
      <c r="P76" s="23"/>
      <c r="Q76" s="23"/>
      <c r="R76" s="23"/>
      <c r="S76" s="23"/>
      <c r="T76" s="23"/>
      <c r="U76" s="23"/>
      <c r="V76" s="23"/>
      <c r="W76" s="23"/>
      <c r="X76" s="23"/>
    </row>
    <row r="77" spans="1:24" x14ac:dyDescent="0.2">
      <c r="A77" s="24" t="s">
        <v>81</v>
      </c>
      <c r="B77" s="24">
        <v>67</v>
      </c>
      <c r="C77" s="24">
        <f>'Ziegler Data'!P77</f>
        <v>8.82</v>
      </c>
      <c r="D77" s="25">
        <v>1</v>
      </c>
      <c r="E77" s="22">
        <v>67</v>
      </c>
      <c r="F77" s="22"/>
      <c r="G77" s="22"/>
      <c r="H77" s="22"/>
      <c r="I77" s="22"/>
      <c r="J77" s="22"/>
      <c r="K77" s="22"/>
      <c r="L77" s="22"/>
      <c r="M77" s="22"/>
      <c r="N77" s="22"/>
      <c r="O77" s="23">
        <v>1</v>
      </c>
      <c r="P77" s="23"/>
      <c r="Q77" s="23"/>
      <c r="R77" s="23"/>
      <c r="S77" s="23"/>
      <c r="T77" s="23"/>
      <c r="U77" s="23"/>
      <c r="V77" s="23"/>
      <c r="W77" s="23"/>
      <c r="X77" s="23"/>
    </row>
    <row r="78" spans="1:24" x14ac:dyDescent="0.2">
      <c r="A78" s="24" t="s">
        <v>82</v>
      </c>
      <c r="B78" s="24">
        <v>68</v>
      </c>
      <c r="C78" s="24">
        <f>'Ziegler Data'!P78</f>
        <v>9.09</v>
      </c>
      <c r="D78" s="25">
        <v>1</v>
      </c>
      <c r="E78" s="22">
        <v>68</v>
      </c>
      <c r="F78" s="22"/>
      <c r="G78" s="22"/>
      <c r="H78" s="22"/>
      <c r="I78" s="22"/>
      <c r="J78" s="22"/>
      <c r="K78" s="22"/>
      <c r="L78" s="22"/>
      <c r="M78" s="22"/>
      <c r="N78" s="22"/>
      <c r="O78" s="23">
        <v>1</v>
      </c>
      <c r="P78" s="23"/>
      <c r="Q78" s="23"/>
      <c r="R78" s="23"/>
      <c r="S78" s="23"/>
      <c r="T78" s="23"/>
      <c r="U78" s="23"/>
      <c r="V78" s="23"/>
      <c r="W78" s="23"/>
      <c r="X78" s="23"/>
    </row>
    <row r="79" spans="1:24" x14ac:dyDescent="0.2">
      <c r="A79" s="24" t="s">
        <v>83</v>
      </c>
      <c r="B79" s="24">
        <v>69</v>
      </c>
      <c r="C79" s="24">
        <f>'Ziegler Data'!P79</f>
        <v>9.3330000000000002</v>
      </c>
      <c r="D79" s="25">
        <v>1</v>
      </c>
      <c r="E79" s="22">
        <v>69</v>
      </c>
      <c r="F79" s="22"/>
      <c r="G79" s="22"/>
      <c r="H79" s="22"/>
      <c r="I79" s="22"/>
      <c r="J79" s="22"/>
      <c r="K79" s="22"/>
      <c r="L79" s="22"/>
      <c r="M79" s="22"/>
      <c r="N79" s="22"/>
      <c r="O79" s="23">
        <v>1</v>
      </c>
      <c r="P79" s="23"/>
      <c r="Q79" s="23"/>
      <c r="R79" s="23"/>
      <c r="S79" s="23"/>
      <c r="T79" s="23"/>
      <c r="U79" s="23"/>
      <c r="V79" s="23"/>
      <c r="W79" s="23"/>
      <c r="X79" s="23"/>
    </row>
    <row r="80" spans="1:24" x14ac:dyDescent="0.2">
      <c r="A80" s="24" t="s">
        <v>84</v>
      </c>
      <c r="B80" s="24">
        <v>70</v>
      </c>
      <c r="C80" s="24">
        <f>'Ziegler Data'!P80</f>
        <v>6.9770000000000003</v>
      </c>
      <c r="D80" s="25">
        <v>1</v>
      </c>
      <c r="E80" s="22">
        <v>70</v>
      </c>
      <c r="F80" s="22"/>
      <c r="G80" s="22"/>
      <c r="H80" s="22"/>
      <c r="I80" s="22"/>
      <c r="J80" s="22"/>
      <c r="K80" s="22"/>
      <c r="L80" s="22"/>
      <c r="M80" s="22"/>
      <c r="N80" s="22"/>
      <c r="O80" s="23">
        <v>1</v>
      </c>
      <c r="P80" s="23"/>
      <c r="Q80" s="23"/>
      <c r="R80" s="23"/>
      <c r="S80" s="23"/>
      <c r="T80" s="23"/>
      <c r="U80" s="23"/>
      <c r="V80" s="23"/>
      <c r="W80" s="23"/>
      <c r="X80" s="23"/>
    </row>
    <row r="81" spans="1:24" x14ac:dyDescent="0.2">
      <c r="A81" s="24" t="s">
        <v>85</v>
      </c>
      <c r="B81" s="24">
        <v>71</v>
      </c>
      <c r="C81" s="24">
        <f>'Ziegler Data'!P81</f>
        <v>9.83</v>
      </c>
      <c r="D81" s="25">
        <v>1</v>
      </c>
      <c r="E81" s="22">
        <v>71</v>
      </c>
      <c r="F81" s="22"/>
      <c r="G81" s="22"/>
      <c r="H81" s="22"/>
      <c r="I81" s="22"/>
      <c r="J81" s="22"/>
      <c r="K81" s="22"/>
      <c r="L81" s="22"/>
      <c r="M81" s="22"/>
      <c r="N81" s="22"/>
      <c r="O81" s="23">
        <v>1</v>
      </c>
      <c r="P81" s="23"/>
      <c r="Q81" s="23"/>
      <c r="R81" s="23"/>
      <c r="S81" s="23"/>
      <c r="T81" s="23"/>
      <c r="U81" s="23"/>
      <c r="V81" s="23"/>
      <c r="W81" s="23"/>
      <c r="X81" s="23"/>
    </row>
    <row r="82" spans="1:24" x14ac:dyDescent="0.2">
      <c r="A82" s="24" t="s">
        <v>86</v>
      </c>
      <c r="B82" s="24">
        <v>72</v>
      </c>
      <c r="C82" s="24">
        <f>'Ziegler Data'!P82</f>
        <v>13.12</v>
      </c>
      <c r="D82" s="25">
        <v>1</v>
      </c>
      <c r="E82" s="22">
        <v>72</v>
      </c>
      <c r="F82" s="22"/>
      <c r="G82" s="22"/>
      <c r="H82" s="22"/>
      <c r="I82" s="22"/>
      <c r="J82" s="22"/>
      <c r="K82" s="22"/>
      <c r="L82" s="22"/>
      <c r="M82" s="22"/>
      <c r="N82" s="22"/>
      <c r="O82" s="23">
        <v>1</v>
      </c>
      <c r="P82" s="23"/>
      <c r="Q82" s="23"/>
      <c r="R82" s="23"/>
      <c r="S82" s="23"/>
      <c r="T82" s="23"/>
      <c r="U82" s="23"/>
      <c r="V82" s="23"/>
      <c r="W82" s="23"/>
      <c r="X82" s="23"/>
    </row>
    <row r="83" spans="1:24" x14ac:dyDescent="0.2">
      <c r="A83" s="24" t="s">
        <v>87</v>
      </c>
      <c r="B83" s="24">
        <v>73</v>
      </c>
      <c r="C83" s="24">
        <f>'Ziegler Data'!P83</f>
        <v>16.600000000000001</v>
      </c>
      <c r="D83" s="25">
        <v>1</v>
      </c>
      <c r="E83" s="22">
        <v>73</v>
      </c>
      <c r="F83" s="22"/>
      <c r="G83" s="22"/>
      <c r="H83" s="22"/>
      <c r="I83" s="22"/>
      <c r="J83" s="22"/>
      <c r="K83" s="22"/>
      <c r="L83" s="22"/>
      <c r="M83" s="22"/>
      <c r="N83" s="22"/>
      <c r="O83" s="23">
        <v>1</v>
      </c>
      <c r="P83" s="23"/>
      <c r="Q83" s="23"/>
      <c r="R83" s="23"/>
      <c r="S83" s="23"/>
      <c r="T83" s="23"/>
      <c r="U83" s="23"/>
      <c r="V83" s="23"/>
      <c r="W83" s="23"/>
      <c r="X83" s="23"/>
    </row>
    <row r="84" spans="1:24" x14ac:dyDescent="0.2">
      <c r="A84" s="24" t="s">
        <v>88</v>
      </c>
      <c r="B84" s="24">
        <v>74</v>
      </c>
      <c r="C84" s="24">
        <f>'Ziegler Data'!P84</f>
        <v>19.29</v>
      </c>
      <c r="D84" s="25">
        <v>1</v>
      </c>
      <c r="E84" s="22">
        <v>74</v>
      </c>
      <c r="F84" s="22"/>
      <c r="G84" s="22"/>
      <c r="H84" s="22"/>
      <c r="I84" s="22"/>
      <c r="J84" s="22"/>
      <c r="K84" s="22"/>
      <c r="L84" s="22"/>
      <c r="M84" s="22"/>
      <c r="N84" s="22"/>
      <c r="O84" s="23">
        <v>1</v>
      </c>
      <c r="P84" s="23"/>
      <c r="Q84" s="23"/>
      <c r="R84" s="23"/>
      <c r="S84" s="23"/>
      <c r="T84" s="23"/>
      <c r="U84" s="23"/>
      <c r="V84" s="23"/>
      <c r="W84" s="23"/>
      <c r="X84" s="23"/>
    </row>
    <row r="85" spans="1:24" x14ac:dyDescent="0.2">
      <c r="A85" s="24" t="s">
        <v>89</v>
      </c>
      <c r="B85" s="24">
        <v>75</v>
      </c>
      <c r="C85" s="24">
        <f>'Ziegler Data'!P85</f>
        <v>21.04</v>
      </c>
      <c r="D85" s="25">
        <v>1</v>
      </c>
      <c r="E85" s="22">
        <v>75</v>
      </c>
      <c r="F85" s="22"/>
      <c r="G85" s="22"/>
      <c r="H85" s="22"/>
      <c r="I85" s="22"/>
      <c r="J85" s="22"/>
      <c r="K85" s="22"/>
      <c r="L85" s="22"/>
      <c r="M85" s="22"/>
      <c r="N85" s="22"/>
      <c r="O85" s="23">
        <v>1</v>
      </c>
      <c r="P85" s="23"/>
      <c r="Q85" s="23"/>
      <c r="R85" s="23"/>
      <c r="S85" s="23"/>
      <c r="T85" s="23"/>
      <c r="U85" s="23"/>
      <c r="V85" s="23"/>
      <c r="W85" s="23"/>
      <c r="X85" s="23"/>
    </row>
    <row r="86" spans="1:24" x14ac:dyDescent="0.2">
      <c r="A86" s="24" t="s">
        <v>90</v>
      </c>
      <c r="B86" s="24">
        <v>76</v>
      </c>
      <c r="C86" s="24">
        <f>'Ziegler Data'!P86</f>
        <v>22.56</v>
      </c>
      <c r="D86" s="25">
        <v>1</v>
      </c>
      <c r="E86" s="22">
        <v>76</v>
      </c>
      <c r="F86" s="22"/>
      <c r="G86" s="22"/>
      <c r="H86" s="22"/>
      <c r="I86" s="22"/>
      <c r="J86" s="22"/>
      <c r="K86" s="22"/>
      <c r="L86" s="22"/>
      <c r="M86" s="22"/>
      <c r="N86" s="22"/>
      <c r="O86" s="23">
        <v>1</v>
      </c>
      <c r="P86" s="23"/>
      <c r="Q86" s="23"/>
      <c r="R86" s="23"/>
      <c r="S86" s="23"/>
      <c r="T86" s="23"/>
      <c r="U86" s="23"/>
      <c r="V86" s="23"/>
      <c r="W86" s="23"/>
      <c r="X86" s="23"/>
    </row>
    <row r="87" spans="1:24" x14ac:dyDescent="0.2">
      <c r="A87" s="24" t="s">
        <v>91</v>
      </c>
      <c r="B87" s="24">
        <v>77</v>
      </c>
      <c r="C87" s="24">
        <f>'Ziegler Data'!P87</f>
        <v>22.51</v>
      </c>
      <c r="D87" s="25">
        <v>1</v>
      </c>
      <c r="E87" s="22">
        <v>77</v>
      </c>
      <c r="F87" s="22"/>
      <c r="G87" s="22"/>
      <c r="H87" s="22"/>
      <c r="I87" s="22"/>
      <c r="J87" s="22"/>
      <c r="K87" s="22"/>
      <c r="L87" s="22"/>
      <c r="M87" s="22"/>
      <c r="N87" s="22"/>
      <c r="O87" s="23">
        <v>1</v>
      </c>
      <c r="P87" s="23"/>
      <c r="Q87" s="23"/>
      <c r="R87" s="23"/>
      <c r="S87" s="23"/>
      <c r="T87" s="23"/>
      <c r="U87" s="23"/>
      <c r="V87" s="23"/>
      <c r="W87" s="23"/>
      <c r="X87" s="23"/>
    </row>
    <row r="88" spans="1:24" x14ac:dyDescent="0.2">
      <c r="A88" s="24" t="s">
        <v>92</v>
      </c>
      <c r="B88" s="24">
        <v>78</v>
      </c>
      <c r="C88" s="24">
        <f>'Ziegler Data'!P88</f>
        <v>21.44</v>
      </c>
      <c r="D88" s="25">
        <v>1</v>
      </c>
      <c r="E88" s="22">
        <v>78</v>
      </c>
      <c r="F88" s="22"/>
      <c r="G88" s="22"/>
      <c r="H88" s="22"/>
      <c r="I88" s="22"/>
      <c r="J88" s="22"/>
      <c r="K88" s="22"/>
      <c r="L88" s="22"/>
      <c r="M88" s="22"/>
      <c r="N88" s="22"/>
      <c r="O88" s="23">
        <v>1</v>
      </c>
      <c r="P88" s="23"/>
      <c r="Q88" s="23"/>
      <c r="R88" s="23"/>
      <c r="S88" s="23"/>
      <c r="T88" s="23"/>
      <c r="U88" s="23"/>
      <c r="V88" s="23"/>
      <c r="W88" s="23"/>
      <c r="X88" s="23"/>
    </row>
    <row r="89" spans="1:24" x14ac:dyDescent="0.2">
      <c r="A89" s="24" t="s">
        <v>93</v>
      </c>
      <c r="B89" s="24">
        <v>79</v>
      </c>
      <c r="C89" s="24">
        <f>'Ziegler Data'!P89</f>
        <v>19.309999999999999</v>
      </c>
      <c r="D89" s="25">
        <v>1</v>
      </c>
      <c r="E89" s="22">
        <v>79</v>
      </c>
      <c r="F89" s="22"/>
      <c r="G89" s="22"/>
      <c r="H89" s="22"/>
      <c r="I89" s="22"/>
      <c r="J89" s="22"/>
      <c r="K89" s="22"/>
      <c r="L89" s="22"/>
      <c r="M89" s="22"/>
      <c r="N89" s="22"/>
      <c r="O89" s="23">
        <v>1</v>
      </c>
      <c r="P89" s="23"/>
      <c r="Q89" s="23"/>
      <c r="R89" s="23"/>
      <c r="S89" s="23"/>
      <c r="T89" s="23"/>
      <c r="U89" s="23"/>
      <c r="V89" s="23"/>
      <c r="W89" s="23"/>
      <c r="X89" s="23"/>
    </row>
    <row r="90" spans="1:24" x14ac:dyDescent="0.2">
      <c r="A90" s="24" t="s">
        <v>94</v>
      </c>
      <c r="B90" s="24">
        <v>80</v>
      </c>
      <c r="C90" s="24">
        <f>'Ziegler Data'!P90</f>
        <v>13.55</v>
      </c>
      <c r="D90" s="25">
        <v>1</v>
      </c>
      <c r="E90" s="22">
        <v>80</v>
      </c>
      <c r="F90" s="22"/>
      <c r="G90" s="22"/>
      <c r="H90" s="22"/>
      <c r="I90" s="22"/>
      <c r="J90" s="22"/>
      <c r="K90" s="22"/>
      <c r="L90" s="22"/>
      <c r="M90" s="22"/>
      <c r="N90" s="22"/>
      <c r="O90" s="23">
        <v>1</v>
      </c>
      <c r="P90" s="23"/>
      <c r="Q90" s="23"/>
      <c r="R90" s="23"/>
      <c r="S90" s="23"/>
      <c r="T90" s="23"/>
      <c r="U90" s="23"/>
      <c r="V90" s="23"/>
      <c r="W90" s="23"/>
      <c r="X90" s="23"/>
    </row>
    <row r="91" spans="1:24" x14ac:dyDescent="0.2">
      <c r="A91" s="24" t="s">
        <v>95</v>
      </c>
      <c r="B91" s="24">
        <v>81</v>
      </c>
      <c r="C91" s="24">
        <f>'Ziegler Data'!P91</f>
        <v>11.88</v>
      </c>
      <c r="D91" s="25">
        <v>1</v>
      </c>
      <c r="E91" s="22">
        <v>81</v>
      </c>
      <c r="F91" s="22"/>
      <c r="G91" s="22"/>
      <c r="H91" s="22"/>
      <c r="I91" s="22"/>
      <c r="J91" s="22"/>
      <c r="K91" s="22"/>
      <c r="L91" s="22"/>
      <c r="M91" s="22"/>
      <c r="N91" s="22"/>
      <c r="O91" s="23">
        <v>1</v>
      </c>
      <c r="P91" s="23"/>
      <c r="Q91" s="23"/>
      <c r="R91" s="23"/>
      <c r="S91" s="23"/>
      <c r="T91" s="23"/>
      <c r="U91" s="23"/>
      <c r="V91" s="23"/>
      <c r="W91" s="23"/>
      <c r="X91" s="23"/>
    </row>
    <row r="92" spans="1:24" x14ac:dyDescent="0.2">
      <c r="A92" s="24" t="s">
        <v>96</v>
      </c>
      <c r="B92" s="24">
        <v>82</v>
      </c>
      <c r="C92" s="24">
        <f>'Ziegler Data'!P92</f>
        <v>11.32</v>
      </c>
      <c r="D92" s="25">
        <v>1</v>
      </c>
      <c r="E92" s="22">
        <v>82</v>
      </c>
      <c r="F92" s="22"/>
      <c r="G92" s="22"/>
      <c r="H92" s="22"/>
      <c r="I92" s="22"/>
      <c r="J92" s="22"/>
      <c r="K92" s="22"/>
      <c r="L92" s="22"/>
      <c r="M92" s="22"/>
      <c r="N92" s="22"/>
      <c r="O92" s="23">
        <v>1</v>
      </c>
      <c r="P92" s="23"/>
      <c r="Q92" s="23"/>
      <c r="R92" s="23"/>
      <c r="S92" s="23"/>
      <c r="T92" s="23"/>
      <c r="U92" s="23"/>
      <c r="V92" s="23"/>
      <c r="W92" s="23"/>
      <c r="X92" s="23"/>
    </row>
    <row r="93" spans="1:24" x14ac:dyDescent="0.2">
      <c r="A93" s="24" t="s">
        <v>97</v>
      </c>
      <c r="B93" s="24">
        <v>83</v>
      </c>
      <c r="C93" s="24">
        <f>'Ziegler Data'!P93</f>
        <v>9.8109999999999999</v>
      </c>
      <c r="D93" s="25">
        <v>1</v>
      </c>
      <c r="E93" s="22">
        <v>83</v>
      </c>
      <c r="F93" s="22"/>
      <c r="G93" s="22"/>
      <c r="H93" s="22"/>
      <c r="I93" s="22"/>
      <c r="J93" s="22"/>
      <c r="K93" s="22"/>
      <c r="L93" s="22"/>
      <c r="M93" s="22"/>
      <c r="N93" s="22"/>
      <c r="O93" s="23">
        <v>1</v>
      </c>
      <c r="P93" s="23"/>
      <c r="Q93" s="23"/>
      <c r="R93" s="23"/>
      <c r="S93" s="23"/>
      <c r="T93" s="23"/>
      <c r="U93" s="23"/>
      <c r="V93" s="23"/>
      <c r="W93" s="23"/>
      <c r="X93" s="23"/>
    </row>
    <row r="94" spans="1:24" x14ac:dyDescent="0.2">
      <c r="A94" s="24" t="s">
        <v>98</v>
      </c>
      <c r="B94" s="24">
        <v>84</v>
      </c>
      <c r="C94" s="24">
        <f>'Ziegler Data'!P94</f>
        <v>9.2509999999999994</v>
      </c>
      <c r="D94" s="25">
        <v>1</v>
      </c>
      <c r="E94" s="22">
        <v>84</v>
      </c>
      <c r="F94" s="22"/>
      <c r="G94" s="22"/>
      <c r="H94" s="22"/>
      <c r="I94" s="22"/>
      <c r="J94" s="22"/>
      <c r="K94" s="22"/>
      <c r="L94" s="22"/>
      <c r="M94" s="22"/>
      <c r="N94" s="22"/>
      <c r="O94" s="23">
        <v>1</v>
      </c>
      <c r="P94" s="23"/>
      <c r="Q94" s="23"/>
      <c r="R94" s="23"/>
      <c r="S94" s="23"/>
      <c r="T94" s="23"/>
      <c r="U94" s="23"/>
      <c r="V94" s="23"/>
      <c r="W94" s="23"/>
      <c r="X94" s="23"/>
    </row>
    <row r="95" spans="1:24" x14ac:dyDescent="0.2">
      <c r="A95" s="24" t="s">
        <v>99</v>
      </c>
      <c r="B95" s="24">
        <v>85</v>
      </c>
      <c r="C95" s="24">
        <f>'Ziegler Data'!P95</f>
        <v>8</v>
      </c>
      <c r="D95" s="25">
        <v>1</v>
      </c>
      <c r="E95" s="22">
        <v>85</v>
      </c>
      <c r="F95" s="22"/>
      <c r="G95" s="22"/>
      <c r="H95" s="22"/>
      <c r="I95" s="22"/>
      <c r="J95" s="22"/>
      <c r="K95" s="22"/>
      <c r="L95" s="22"/>
      <c r="M95" s="22"/>
      <c r="N95" s="22"/>
      <c r="O95" s="23">
        <v>1</v>
      </c>
      <c r="P95" s="23"/>
      <c r="Q95" s="23"/>
      <c r="R95" s="23"/>
      <c r="S95" s="23"/>
      <c r="T95" s="23"/>
      <c r="U95" s="23"/>
      <c r="V95" s="23"/>
      <c r="W95" s="23"/>
      <c r="X95" s="23"/>
    </row>
    <row r="96" spans="1:24" x14ac:dyDescent="0.2">
      <c r="A96" s="24" t="s">
        <v>100</v>
      </c>
      <c r="B96" s="24">
        <v>86</v>
      </c>
      <c r="C96" s="24">
        <f>'Ziegler Data'!P96</f>
        <v>9.9089999999999994E-3</v>
      </c>
      <c r="D96" s="25">
        <v>1</v>
      </c>
      <c r="E96" s="22">
        <v>86</v>
      </c>
      <c r="F96" s="22"/>
      <c r="G96" s="22"/>
      <c r="H96" s="22"/>
      <c r="I96" s="22"/>
      <c r="J96" s="22"/>
      <c r="K96" s="22"/>
      <c r="L96" s="22"/>
      <c r="M96" s="22"/>
      <c r="N96" s="22"/>
      <c r="O96" s="23">
        <v>1</v>
      </c>
      <c r="P96" s="23"/>
      <c r="Q96" s="23"/>
      <c r="R96" s="23"/>
      <c r="S96" s="23"/>
      <c r="T96" s="23"/>
      <c r="U96" s="23"/>
      <c r="V96" s="23"/>
      <c r="W96" s="23"/>
      <c r="X96" s="23"/>
    </row>
    <row r="97" spans="1:24" x14ac:dyDescent="0.2">
      <c r="A97" s="24" t="s">
        <v>101</v>
      </c>
      <c r="B97" s="24">
        <v>87</v>
      </c>
      <c r="C97" s="24">
        <f>'Ziegler Data'!P97</f>
        <v>6</v>
      </c>
      <c r="D97" s="25">
        <v>1</v>
      </c>
      <c r="E97" s="22">
        <v>87</v>
      </c>
      <c r="F97" s="22"/>
      <c r="G97" s="22"/>
      <c r="H97" s="22"/>
      <c r="I97" s="22"/>
      <c r="J97" s="22"/>
      <c r="K97" s="22"/>
      <c r="L97" s="22"/>
      <c r="M97" s="22"/>
      <c r="N97" s="22"/>
      <c r="O97" s="23">
        <v>1</v>
      </c>
      <c r="P97" s="23"/>
      <c r="Q97" s="23"/>
      <c r="R97" s="23"/>
      <c r="S97" s="23"/>
      <c r="T97" s="23"/>
      <c r="U97" s="23"/>
      <c r="V97" s="23"/>
      <c r="W97" s="23"/>
      <c r="X97" s="23"/>
    </row>
    <row r="98" spans="1:24" x14ac:dyDescent="0.2">
      <c r="A98" s="24" t="s">
        <v>102</v>
      </c>
      <c r="B98" s="24">
        <v>88</v>
      </c>
      <c r="C98" s="24">
        <f>'Ziegler Data'!P98</f>
        <v>5.0220000000000002</v>
      </c>
      <c r="D98" s="25">
        <v>1</v>
      </c>
      <c r="E98" s="22">
        <v>88</v>
      </c>
      <c r="F98" s="22"/>
      <c r="G98" s="22"/>
      <c r="H98" s="22"/>
      <c r="I98" s="22"/>
      <c r="J98" s="22"/>
      <c r="K98" s="22"/>
      <c r="L98" s="22"/>
      <c r="M98" s="22"/>
      <c r="N98" s="22"/>
      <c r="O98" s="23">
        <v>1</v>
      </c>
      <c r="P98" s="23"/>
      <c r="Q98" s="23"/>
      <c r="R98" s="23"/>
      <c r="S98" s="23"/>
      <c r="T98" s="23"/>
      <c r="U98" s="23"/>
      <c r="V98" s="23"/>
      <c r="W98" s="23"/>
      <c r="X98" s="23"/>
    </row>
    <row r="99" spans="1:24" x14ac:dyDescent="0.2">
      <c r="A99" s="24" t="s">
        <v>103</v>
      </c>
      <c r="B99" s="24">
        <v>89</v>
      </c>
      <c r="C99" s="24">
        <f>'Ziegler Data'!P99</f>
        <v>8</v>
      </c>
      <c r="D99" s="25">
        <v>1</v>
      </c>
      <c r="E99" s="22">
        <v>89</v>
      </c>
      <c r="F99" s="22"/>
      <c r="G99" s="22"/>
      <c r="H99" s="22"/>
      <c r="I99" s="22"/>
      <c r="J99" s="22"/>
      <c r="K99" s="22"/>
      <c r="L99" s="22"/>
      <c r="M99" s="22"/>
      <c r="N99" s="22"/>
      <c r="O99" s="23">
        <v>1</v>
      </c>
      <c r="P99" s="23"/>
      <c r="Q99" s="23"/>
      <c r="R99" s="23"/>
      <c r="S99" s="23"/>
      <c r="T99" s="23"/>
      <c r="U99" s="23"/>
      <c r="V99" s="23"/>
      <c r="W99" s="23"/>
      <c r="X99" s="23"/>
    </row>
    <row r="100" spans="1:24" x14ac:dyDescent="0.2">
      <c r="A100" s="24" t="s">
        <v>104</v>
      </c>
      <c r="B100" s="24">
        <v>90</v>
      </c>
      <c r="C100" s="24">
        <f>'Ziegler Data'!P100</f>
        <v>11.66</v>
      </c>
      <c r="D100" s="25">
        <v>1</v>
      </c>
      <c r="E100" s="22">
        <v>90</v>
      </c>
      <c r="F100" s="22"/>
      <c r="G100" s="22"/>
      <c r="H100" s="22"/>
      <c r="I100" s="22"/>
      <c r="J100" s="22"/>
      <c r="K100" s="22"/>
      <c r="L100" s="22"/>
      <c r="M100" s="22"/>
      <c r="N100" s="22"/>
      <c r="O100" s="23">
        <v>1</v>
      </c>
      <c r="P100" s="23"/>
      <c r="Q100" s="23"/>
      <c r="R100" s="23"/>
      <c r="S100" s="23"/>
      <c r="T100" s="23"/>
      <c r="U100" s="23"/>
      <c r="V100" s="23"/>
      <c r="W100" s="23"/>
      <c r="X100" s="23"/>
    </row>
    <row r="101" spans="1:24" x14ac:dyDescent="0.2">
      <c r="A101" s="24" t="s">
        <v>105</v>
      </c>
      <c r="B101" s="24">
        <v>91</v>
      </c>
      <c r="C101" s="24">
        <f>'Ziegler Data'!P101</f>
        <v>15.4</v>
      </c>
      <c r="D101" s="25">
        <v>1</v>
      </c>
      <c r="E101" s="22">
        <v>91</v>
      </c>
      <c r="F101" s="22"/>
      <c r="G101" s="22"/>
      <c r="H101" s="22"/>
      <c r="I101" s="22"/>
      <c r="J101" s="22"/>
      <c r="K101" s="22"/>
      <c r="L101" s="22"/>
      <c r="M101" s="22"/>
      <c r="N101" s="22"/>
      <c r="O101" s="23">
        <v>1</v>
      </c>
      <c r="P101" s="23"/>
      <c r="Q101" s="23"/>
      <c r="R101" s="23"/>
      <c r="S101" s="23"/>
      <c r="T101" s="23"/>
      <c r="U101" s="23"/>
      <c r="V101" s="23"/>
      <c r="W101" s="23"/>
      <c r="X101" s="23"/>
    </row>
    <row r="102" spans="1:24" x14ac:dyDescent="0.2">
      <c r="A102" s="24" t="s">
        <v>106</v>
      </c>
      <c r="B102" s="24">
        <v>92</v>
      </c>
      <c r="C102" s="24">
        <f>'Ziegler Data'!P102</f>
        <v>19.04</v>
      </c>
      <c r="D102" s="25">
        <v>1</v>
      </c>
      <c r="E102" s="22">
        <v>92</v>
      </c>
      <c r="F102" s="22"/>
      <c r="G102" s="22"/>
      <c r="H102" s="22"/>
      <c r="I102" s="22"/>
      <c r="J102" s="22"/>
      <c r="K102" s="22"/>
      <c r="L102" s="22"/>
      <c r="M102" s="22"/>
      <c r="N102" s="22"/>
      <c r="O102" s="23">
        <v>1</v>
      </c>
      <c r="P102" s="23"/>
      <c r="Q102" s="23"/>
      <c r="R102" s="23"/>
      <c r="S102" s="23"/>
      <c r="T102" s="23"/>
      <c r="U102" s="23"/>
      <c r="V102" s="23"/>
      <c r="W102" s="23"/>
      <c r="X102" s="23"/>
    </row>
    <row r="103" spans="1:24" x14ac:dyDescent="0.2">
      <c r="A103" s="84"/>
      <c r="B103" s="24">
        <v>93</v>
      </c>
      <c r="C103" s="84"/>
      <c r="D103" s="85"/>
      <c r="E103" s="86"/>
      <c r="F103" s="86"/>
      <c r="G103" s="86"/>
      <c r="H103" s="86"/>
      <c r="I103" s="86"/>
      <c r="J103" s="86"/>
      <c r="K103" s="86"/>
      <c r="L103" s="86"/>
      <c r="M103" s="86"/>
      <c r="N103" s="86"/>
      <c r="O103" s="87">
        <v>1</v>
      </c>
      <c r="P103" s="87"/>
      <c r="Q103" s="87"/>
      <c r="R103" s="87"/>
      <c r="S103" s="87"/>
      <c r="T103" s="87"/>
      <c r="U103" s="87"/>
      <c r="V103" s="87"/>
      <c r="W103" s="87"/>
      <c r="X103" s="87"/>
    </row>
    <row r="104" spans="1:24" x14ac:dyDescent="0.2">
      <c r="A104" s="84"/>
      <c r="B104" s="24">
        <v>94</v>
      </c>
      <c r="C104" s="84"/>
      <c r="D104" s="85"/>
      <c r="E104" s="86"/>
      <c r="F104" s="86"/>
      <c r="G104" s="86"/>
      <c r="H104" s="86"/>
      <c r="I104" s="86"/>
      <c r="J104" s="86"/>
      <c r="K104" s="86"/>
      <c r="L104" s="86"/>
      <c r="M104" s="86"/>
      <c r="N104" s="86"/>
      <c r="O104" s="87">
        <v>1</v>
      </c>
      <c r="P104" s="87"/>
      <c r="Q104" s="87"/>
      <c r="R104" s="87"/>
      <c r="S104" s="87"/>
      <c r="T104" s="87"/>
      <c r="U104" s="87"/>
      <c r="V104" s="87"/>
      <c r="W104" s="87"/>
      <c r="X104" s="87"/>
    </row>
    <row r="105" spans="1:24" x14ac:dyDescent="0.2">
      <c r="A105" s="84"/>
      <c r="B105" s="24">
        <v>95</v>
      </c>
      <c r="C105" s="84"/>
      <c r="D105" s="85"/>
      <c r="E105" s="86"/>
      <c r="F105" s="86"/>
      <c r="G105" s="86"/>
      <c r="H105" s="86"/>
      <c r="I105" s="86"/>
      <c r="J105" s="86"/>
      <c r="K105" s="86"/>
      <c r="L105" s="86"/>
      <c r="M105" s="86"/>
      <c r="N105" s="86"/>
      <c r="O105" s="87">
        <v>1</v>
      </c>
      <c r="P105" s="87"/>
      <c r="Q105" s="87"/>
      <c r="R105" s="87"/>
      <c r="S105" s="87"/>
      <c r="T105" s="87"/>
      <c r="U105" s="87"/>
      <c r="V105" s="87"/>
      <c r="W105" s="87"/>
      <c r="X105" s="87"/>
    </row>
    <row r="106" spans="1:24" x14ac:dyDescent="0.2">
      <c r="A106" s="84"/>
      <c r="B106" s="24">
        <v>96</v>
      </c>
      <c r="C106" s="84"/>
      <c r="D106" s="85"/>
      <c r="E106" s="86"/>
      <c r="F106" s="86"/>
      <c r="G106" s="86"/>
      <c r="H106" s="86"/>
      <c r="I106" s="86"/>
      <c r="J106" s="86"/>
      <c r="K106" s="86"/>
      <c r="L106" s="86"/>
      <c r="M106" s="86"/>
      <c r="N106" s="86"/>
      <c r="O106" s="87">
        <v>1</v>
      </c>
      <c r="P106" s="87"/>
      <c r="Q106" s="87"/>
      <c r="R106" s="87"/>
      <c r="S106" s="87"/>
      <c r="T106" s="87"/>
      <c r="U106" s="87"/>
      <c r="V106" s="87"/>
      <c r="W106" s="87"/>
      <c r="X106" s="87"/>
    </row>
    <row r="107" spans="1:24" x14ac:dyDescent="0.2">
      <c r="A107" s="84"/>
      <c r="B107" s="24">
        <v>97</v>
      </c>
      <c r="C107" s="84"/>
      <c r="D107" s="85"/>
      <c r="E107" s="86"/>
      <c r="F107" s="86"/>
      <c r="G107" s="86"/>
      <c r="H107" s="86"/>
      <c r="I107" s="86"/>
      <c r="J107" s="86"/>
      <c r="K107" s="86"/>
      <c r="L107" s="86"/>
      <c r="M107" s="86"/>
      <c r="N107" s="86"/>
      <c r="O107" s="87">
        <v>1</v>
      </c>
      <c r="P107" s="87"/>
      <c r="Q107" s="87"/>
      <c r="R107" s="87"/>
      <c r="S107" s="87"/>
      <c r="T107" s="87"/>
      <c r="U107" s="87"/>
      <c r="V107" s="87"/>
      <c r="W107" s="87"/>
      <c r="X107" s="87"/>
    </row>
    <row r="108" spans="1:24" x14ac:dyDescent="0.2">
      <c r="A108" s="84"/>
      <c r="B108" s="24">
        <v>98</v>
      </c>
      <c r="C108" s="84"/>
      <c r="D108" s="85"/>
      <c r="E108" s="86"/>
      <c r="F108" s="86"/>
      <c r="G108" s="86"/>
      <c r="H108" s="86"/>
      <c r="I108" s="86"/>
      <c r="J108" s="86"/>
      <c r="K108" s="86"/>
      <c r="L108" s="86"/>
      <c r="M108" s="86"/>
      <c r="N108" s="86"/>
      <c r="O108" s="87">
        <v>1</v>
      </c>
      <c r="P108" s="87"/>
      <c r="Q108" s="87"/>
      <c r="R108" s="87"/>
      <c r="S108" s="87"/>
      <c r="T108" s="87"/>
      <c r="U108" s="87"/>
      <c r="V108" s="87"/>
      <c r="W108" s="87"/>
      <c r="X108" s="87"/>
    </row>
    <row r="109" spans="1:24" x14ac:dyDescent="0.2">
      <c r="A109" s="84"/>
      <c r="B109" s="24">
        <v>99</v>
      </c>
      <c r="C109" s="84"/>
      <c r="D109" s="85"/>
      <c r="E109" s="86"/>
      <c r="F109" s="86"/>
      <c r="G109" s="86"/>
      <c r="H109" s="86"/>
      <c r="I109" s="86"/>
      <c r="J109" s="86"/>
      <c r="K109" s="86"/>
      <c r="L109" s="86"/>
      <c r="M109" s="86"/>
      <c r="N109" s="86"/>
      <c r="O109" s="87">
        <v>1</v>
      </c>
      <c r="P109" s="87"/>
      <c r="Q109" s="87"/>
      <c r="R109" s="87"/>
      <c r="S109" s="87"/>
      <c r="T109" s="87"/>
      <c r="U109" s="87"/>
      <c r="V109" s="87"/>
      <c r="W109" s="87"/>
      <c r="X109" s="87"/>
    </row>
    <row r="110" spans="1:24" x14ac:dyDescent="0.2">
      <c r="A110" s="84" t="s">
        <v>108</v>
      </c>
      <c r="B110" s="24">
        <v>100</v>
      </c>
      <c r="C110" s="84">
        <v>2.76</v>
      </c>
      <c r="D110" s="85">
        <v>2</v>
      </c>
      <c r="E110" s="86">
        <v>37</v>
      </c>
      <c r="F110" s="86">
        <v>17</v>
      </c>
      <c r="G110" s="86"/>
      <c r="H110" s="86"/>
      <c r="I110" s="86"/>
      <c r="J110" s="86"/>
      <c r="K110" s="86"/>
      <c r="L110" s="86"/>
      <c r="M110" s="86"/>
      <c r="N110" s="86"/>
      <c r="O110" s="87">
        <v>1</v>
      </c>
      <c r="P110" s="87">
        <v>1</v>
      </c>
      <c r="Q110" s="87"/>
      <c r="R110" s="87"/>
      <c r="S110" s="87"/>
      <c r="T110" s="87"/>
      <c r="U110" s="87"/>
      <c r="V110" s="87"/>
      <c r="W110" s="87"/>
      <c r="X110" s="87"/>
    </row>
    <row r="111" spans="1:24" x14ac:dyDescent="0.2">
      <c r="A111" s="84" t="s">
        <v>109</v>
      </c>
      <c r="B111" s="24">
        <v>101</v>
      </c>
      <c r="C111" s="84">
        <v>8.4445999999999994</v>
      </c>
      <c r="D111" s="85">
        <v>10</v>
      </c>
      <c r="E111" s="86">
        <v>28</v>
      </c>
      <c r="F111" s="86">
        <v>27</v>
      </c>
      <c r="G111" s="86">
        <v>24</v>
      </c>
      <c r="H111" s="86">
        <v>42</v>
      </c>
      <c r="I111" s="86">
        <v>26</v>
      </c>
      <c r="J111" s="86">
        <v>14</v>
      </c>
      <c r="K111" s="86">
        <v>25</v>
      </c>
      <c r="L111" s="86">
        <v>13</v>
      </c>
      <c r="M111" s="86">
        <v>22</v>
      </c>
      <c r="N111" s="86">
        <v>41</v>
      </c>
      <c r="O111" s="87">
        <v>0.52500000000000002</v>
      </c>
      <c r="P111" s="87">
        <v>0.01</v>
      </c>
      <c r="Q111" s="87">
        <v>0.19</v>
      </c>
      <c r="R111" s="87">
        <v>3.0499999999999999E-2</v>
      </c>
      <c r="S111" s="87">
        <v>0.17</v>
      </c>
      <c r="T111" s="87">
        <v>3.5000000000000001E-3</v>
      </c>
      <c r="U111" s="87">
        <v>3.5000000000000001E-3</v>
      </c>
      <c r="V111" s="87">
        <v>6.0000000000000001E-3</v>
      </c>
      <c r="W111" s="87">
        <v>8.9999999999999993E-3</v>
      </c>
      <c r="X111" s="87">
        <v>5.2499999999999998E-2</v>
      </c>
    </row>
    <row r="112" spans="1:24" x14ac:dyDescent="0.2">
      <c r="A112" s="84" t="s">
        <v>125</v>
      </c>
      <c r="B112" s="24">
        <v>102</v>
      </c>
      <c r="C112" s="84">
        <v>1</v>
      </c>
      <c r="D112" s="85">
        <v>2</v>
      </c>
      <c r="E112" s="86">
        <v>1</v>
      </c>
      <c r="F112" s="86">
        <v>8</v>
      </c>
      <c r="G112" s="86"/>
      <c r="H112" s="86"/>
      <c r="I112" s="86"/>
      <c r="J112" s="86"/>
      <c r="K112" s="86"/>
      <c r="L112" s="86"/>
      <c r="M112" s="86"/>
      <c r="N112" s="86"/>
      <c r="O112" s="87">
        <v>2</v>
      </c>
      <c r="P112" s="87">
        <v>1</v>
      </c>
      <c r="Q112" s="87"/>
      <c r="R112" s="87"/>
      <c r="S112" s="87"/>
      <c r="T112" s="87"/>
      <c r="U112" s="87"/>
      <c r="V112" s="87"/>
      <c r="W112" s="87"/>
      <c r="X112" s="87"/>
    </row>
    <row r="113" spans="1:24" x14ac:dyDescent="0.2">
      <c r="A113" s="84" t="s">
        <v>162</v>
      </c>
      <c r="B113" s="24">
        <v>103</v>
      </c>
      <c r="C113" s="84">
        <v>7.93</v>
      </c>
      <c r="D113" s="85">
        <v>6</v>
      </c>
      <c r="E113" s="86">
        <v>26</v>
      </c>
      <c r="F113" s="86">
        <v>24</v>
      </c>
      <c r="G113" s="86">
        <v>28</v>
      </c>
      <c r="H113" s="86">
        <v>42</v>
      </c>
      <c r="I113" s="86">
        <v>25</v>
      </c>
      <c r="J113" s="86">
        <v>6</v>
      </c>
      <c r="K113" s="86"/>
      <c r="L113" s="86"/>
      <c r="M113" s="86"/>
      <c r="N113" s="86"/>
      <c r="O113" s="87">
        <v>0.12</v>
      </c>
      <c r="P113" s="87">
        <v>0.17</v>
      </c>
      <c r="Q113" s="87">
        <v>2.5000000000000001E-2</v>
      </c>
      <c r="R113" s="87">
        <v>0.65500000000000003</v>
      </c>
      <c r="S113" s="87">
        <v>0.01</v>
      </c>
      <c r="T113" s="87">
        <v>0.02</v>
      </c>
      <c r="U113" s="87"/>
      <c r="V113" s="87"/>
      <c r="W113" s="87"/>
      <c r="X113" s="87"/>
    </row>
    <row r="114" spans="1:24" x14ac:dyDescent="0.2">
      <c r="A114" s="84" t="s">
        <v>163</v>
      </c>
      <c r="B114" s="24">
        <v>104</v>
      </c>
      <c r="C114" s="84">
        <v>2.17</v>
      </c>
      <c r="D114" s="85">
        <v>2</v>
      </c>
      <c r="E114" s="86">
        <v>11</v>
      </c>
      <c r="F114" s="86">
        <v>17</v>
      </c>
      <c r="G114" s="86"/>
      <c r="H114" s="86"/>
      <c r="I114" s="86"/>
      <c r="J114" s="86"/>
      <c r="K114" s="86"/>
      <c r="L114" s="86"/>
      <c r="M114" s="86"/>
      <c r="N114" s="86"/>
      <c r="O114" s="87">
        <v>1</v>
      </c>
      <c r="P114" s="87">
        <v>1</v>
      </c>
      <c r="Q114" s="87"/>
      <c r="R114" s="87"/>
      <c r="S114" s="87"/>
      <c r="T114" s="87"/>
      <c r="U114" s="87"/>
      <c r="V114" s="87"/>
      <c r="W114" s="87"/>
      <c r="X114" s="87"/>
    </row>
    <row r="115" spans="1:24" x14ac:dyDescent="0.2">
      <c r="A115" s="95" t="s">
        <v>165</v>
      </c>
      <c r="B115" s="24">
        <v>105</v>
      </c>
      <c r="C115" s="84">
        <v>1.33</v>
      </c>
      <c r="D115" s="85">
        <v>4</v>
      </c>
      <c r="E115" s="86">
        <v>6</v>
      </c>
      <c r="F115" s="86">
        <v>1</v>
      </c>
      <c r="G115" s="86">
        <v>7</v>
      </c>
      <c r="H115" s="86">
        <v>8</v>
      </c>
      <c r="I115" s="86"/>
      <c r="J115" s="86"/>
      <c r="K115" s="86"/>
      <c r="L115" s="86"/>
      <c r="M115" s="86"/>
      <c r="N115" s="86"/>
      <c r="O115" s="87">
        <v>22</v>
      </c>
      <c r="P115" s="87">
        <v>10</v>
      </c>
      <c r="Q115" s="87">
        <v>2</v>
      </c>
      <c r="R115" s="87">
        <v>5</v>
      </c>
      <c r="S115" s="87"/>
      <c r="T115" s="87"/>
      <c r="U115" s="87"/>
      <c r="V115" s="87"/>
      <c r="W115" s="87"/>
      <c r="X115" s="87"/>
    </row>
    <row r="116" spans="1:24" x14ac:dyDescent="0.2">
      <c r="A116" s="84" t="s">
        <v>166</v>
      </c>
      <c r="B116" s="24">
        <v>106</v>
      </c>
      <c r="C116" s="84">
        <v>9.0799999999999995E-4</v>
      </c>
      <c r="D116" s="85">
        <v>3</v>
      </c>
      <c r="E116" s="86">
        <v>7</v>
      </c>
      <c r="F116" s="86">
        <v>8</v>
      </c>
      <c r="G116" s="86">
        <v>18</v>
      </c>
      <c r="H116" s="86"/>
      <c r="I116" s="86"/>
      <c r="J116" s="86"/>
      <c r="K116" s="86"/>
      <c r="L116" s="86"/>
      <c r="M116" s="86"/>
      <c r="N116" s="86"/>
      <c r="O116" s="87">
        <v>2</v>
      </c>
      <c r="P116" s="87">
        <v>2</v>
      </c>
      <c r="Q116" s="87">
        <v>1</v>
      </c>
      <c r="R116" s="87"/>
      <c r="S116" s="87"/>
      <c r="T116" s="87"/>
      <c r="U116" s="87"/>
      <c r="V116" s="87"/>
      <c r="W116" s="87"/>
      <c r="X116" s="87"/>
    </row>
    <row r="117" spans="1:24" x14ac:dyDescent="0.2">
      <c r="A117" s="84" t="s">
        <v>172</v>
      </c>
      <c r="B117" s="24">
        <v>107</v>
      </c>
      <c r="C117" s="84">
        <v>2.8</v>
      </c>
      <c r="D117" s="85">
        <v>5</v>
      </c>
      <c r="E117" s="86">
        <v>13</v>
      </c>
      <c r="F117" s="86">
        <v>14</v>
      </c>
      <c r="G117" s="86">
        <v>29</v>
      </c>
      <c r="H117" s="86">
        <v>12</v>
      </c>
      <c r="I117" s="86">
        <v>24</v>
      </c>
      <c r="J117" s="86"/>
      <c r="K117" s="86"/>
      <c r="L117" s="86"/>
      <c r="M117" s="86"/>
      <c r="N117" s="86"/>
      <c r="O117" s="87">
        <v>0.97899999999999998</v>
      </c>
      <c r="P117" s="87">
        <v>6.0000000000000001E-3</v>
      </c>
      <c r="Q117" s="87">
        <v>2.8E-3</v>
      </c>
      <c r="R117" s="87">
        <v>0.01</v>
      </c>
      <c r="S117" s="87">
        <v>2E-3</v>
      </c>
      <c r="T117" s="87"/>
      <c r="U117" s="87"/>
      <c r="V117" s="87"/>
      <c r="W117" s="87"/>
      <c r="X117" s="87"/>
    </row>
    <row r="118" spans="1:24" x14ac:dyDescent="0.2">
      <c r="A118" s="84" t="s">
        <v>173</v>
      </c>
      <c r="B118" s="24">
        <v>108</v>
      </c>
      <c r="C118" s="84">
        <v>1.42</v>
      </c>
      <c r="D118" s="85">
        <v>5</v>
      </c>
      <c r="E118" s="86">
        <v>6</v>
      </c>
      <c r="F118" s="86">
        <v>1</v>
      </c>
      <c r="G118" s="86">
        <v>7</v>
      </c>
      <c r="H118" s="86">
        <v>8</v>
      </c>
      <c r="I118" s="86">
        <v>14</v>
      </c>
      <c r="J118" s="86"/>
      <c r="K118" s="86"/>
      <c r="L118" s="86"/>
      <c r="M118" s="86"/>
      <c r="N118" s="86"/>
      <c r="O118" s="87">
        <v>22</v>
      </c>
      <c r="P118" s="87">
        <v>10</v>
      </c>
      <c r="Q118" s="87">
        <v>2</v>
      </c>
      <c r="R118" s="87">
        <v>5</v>
      </c>
      <c r="S118" s="87">
        <v>10</v>
      </c>
      <c r="T118" s="87"/>
      <c r="U118" s="87"/>
      <c r="V118" s="87"/>
      <c r="W118" s="87"/>
      <c r="X118" s="87"/>
    </row>
    <row r="119" spans="1:24" x14ac:dyDescent="0.2">
      <c r="A119" s="249" t="s">
        <v>198</v>
      </c>
      <c r="B119" s="24">
        <v>109</v>
      </c>
      <c r="C119" s="84">
        <v>1.1100000000000001</v>
      </c>
      <c r="D119" s="85">
        <v>4</v>
      </c>
      <c r="E119" s="86">
        <v>1</v>
      </c>
      <c r="F119" s="86">
        <v>6</v>
      </c>
      <c r="G119" s="86">
        <v>8</v>
      </c>
      <c r="H119" s="86">
        <v>14</v>
      </c>
      <c r="I119" s="86"/>
      <c r="J119" s="86"/>
      <c r="K119" s="86"/>
      <c r="L119" s="86"/>
      <c r="M119" s="86"/>
      <c r="N119" s="86"/>
      <c r="O119" s="87">
        <v>0.6</v>
      </c>
      <c r="P119" s="87">
        <v>0.2</v>
      </c>
      <c r="Q119" s="87">
        <v>0.1</v>
      </c>
      <c r="R119" s="87">
        <v>0.1</v>
      </c>
      <c r="S119" s="87"/>
      <c r="T119" s="87"/>
      <c r="U119" s="87"/>
      <c r="V119" s="87"/>
      <c r="W119" s="87"/>
      <c r="X119" s="87"/>
    </row>
    <row r="120" spans="1:24" x14ac:dyDescent="0.2">
      <c r="A120" s="84"/>
      <c r="B120" s="24">
        <v>110</v>
      </c>
      <c r="C120" s="84"/>
      <c r="D120" s="85"/>
      <c r="E120" s="86"/>
      <c r="F120" s="86"/>
      <c r="G120" s="86"/>
      <c r="H120" s="86"/>
      <c r="I120" s="86"/>
      <c r="J120" s="86"/>
      <c r="K120" s="86"/>
      <c r="L120" s="86"/>
      <c r="M120" s="86"/>
      <c r="N120" s="86"/>
      <c r="O120" s="87"/>
      <c r="P120" s="87"/>
      <c r="Q120" s="87"/>
      <c r="R120" s="87"/>
      <c r="S120" s="87"/>
      <c r="T120" s="87"/>
      <c r="U120" s="87"/>
      <c r="V120" s="87"/>
      <c r="W120" s="87"/>
      <c r="X120" s="87"/>
    </row>
    <row r="121" spans="1:24" x14ac:dyDescent="0.2">
      <c r="A121" s="84"/>
      <c r="B121" s="24">
        <v>111</v>
      </c>
      <c r="C121" s="84"/>
      <c r="D121" s="85"/>
      <c r="E121" s="86"/>
      <c r="F121" s="86"/>
      <c r="G121" s="86"/>
      <c r="H121" s="86"/>
      <c r="I121" s="86"/>
      <c r="J121" s="86"/>
      <c r="K121" s="86"/>
      <c r="L121" s="86"/>
      <c r="M121" s="86"/>
      <c r="N121" s="86"/>
      <c r="O121" s="87"/>
      <c r="P121" s="87"/>
      <c r="Q121" s="87"/>
      <c r="R121" s="87"/>
      <c r="S121" s="87"/>
      <c r="T121" s="87"/>
      <c r="U121" s="87"/>
      <c r="V121" s="87"/>
      <c r="W121" s="87"/>
      <c r="X121" s="87"/>
    </row>
    <row r="122" spans="1:24" x14ac:dyDescent="0.2">
      <c r="A122" s="84"/>
      <c r="B122" s="24">
        <v>112</v>
      </c>
      <c r="C122" s="84"/>
      <c r="D122" s="85"/>
      <c r="E122" s="86"/>
      <c r="F122" s="86"/>
      <c r="G122" s="86"/>
      <c r="H122" s="86"/>
      <c r="I122" s="86"/>
      <c r="J122" s="86"/>
      <c r="K122" s="86"/>
      <c r="L122" s="86"/>
      <c r="M122" s="86"/>
      <c r="N122" s="86"/>
      <c r="O122" s="87"/>
      <c r="P122" s="87"/>
      <c r="Q122" s="87"/>
      <c r="R122" s="87"/>
      <c r="S122" s="87"/>
      <c r="T122" s="87"/>
      <c r="U122" s="87"/>
      <c r="V122" s="87"/>
      <c r="W122" s="87"/>
      <c r="X122" s="87"/>
    </row>
    <row r="123" spans="1:24" x14ac:dyDescent="0.2">
      <c r="A123" s="84"/>
      <c r="B123" s="24">
        <v>113</v>
      </c>
      <c r="C123" s="84"/>
      <c r="D123" s="85"/>
      <c r="E123" s="86"/>
      <c r="F123" s="86"/>
      <c r="G123" s="86"/>
      <c r="H123" s="86"/>
      <c r="I123" s="86"/>
      <c r="J123" s="86"/>
      <c r="K123" s="86"/>
      <c r="L123" s="86"/>
      <c r="M123" s="86"/>
      <c r="N123" s="86"/>
      <c r="O123" s="87"/>
      <c r="P123" s="87"/>
      <c r="Q123" s="87"/>
      <c r="R123" s="87"/>
      <c r="S123" s="87"/>
      <c r="T123" s="87"/>
      <c r="U123" s="87"/>
      <c r="V123" s="87"/>
      <c r="W123" s="87"/>
      <c r="X123" s="87"/>
    </row>
    <row r="124" spans="1:24" x14ac:dyDescent="0.2">
      <c r="A124" s="84"/>
      <c r="B124" s="24">
        <v>114</v>
      </c>
      <c r="C124" s="84"/>
      <c r="D124" s="85"/>
      <c r="E124" s="86"/>
      <c r="F124" s="86"/>
      <c r="G124" s="86"/>
      <c r="H124" s="86"/>
      <c r="I124" s="86"/>
      <c r="J124" s="86"/>
      <c r="K124" s="86"/>
      <c r="L124" s="86"/>
      <c r="M124" s="86"/>
      <c r="N124" s="86"/>
      <c r="O124" s="87"/>
      <c r="P124" s="87"/>
      <c r="Q124" s="87"/>
      <c r="R124" s="87"/>
      <c r="S124" s="87"/>
      <c r="T124" s="87"/>
      <c r="U124" s="87"/>
      <c r="V124" s="87"/>
      <c r="W124" s="87"/>
      <c r="X124" s="87"/>
    </row>
    <row r="125" spans="1:24" x14ac:dyDescent="0.2">
      <c r="A125" s="84"/>
      <c r="B125" s="24">
        <v>115</v>
      </c>
      <c r="C125" s="84"/>
      <c r="D125" s="85"/>
      <c r="E125" s="86"/>
      <c r="F125" s="86"/>
      <c r="G125" s="86"/>
      <c r="H125" s="86"/>
      <c r="I125" s="86"/>
      <c r="J125" s="86"/>
      <c r="K125" s="86"/>
      <c r="L125" s="86"/>
      <c r="M125" s="86"/>
      <c r="N125" s="86"/>
      <c r="O125" s="87"/>
      <c r="P125" s="87"/>
      <c r="Q125" s="87"/>
      <c r="R125" s="87"/>
      <c r="S125" s="87"/>
      <c r="T125" s="87"/>
      <c r="U125" s="87"/>
      <c r="V125" s="87"/>
      <c r="W125" s="87"/>
      <c r="X125" s="87"/>
    </row>
    <row r="126" spans="1:24" x14ac:dyDescent="0.2">
      <c r="A126" s="84"/>
      <c r="B126" s="24">
        <v>116</v>
      </c>
      <c r="C126" s="84"/>
      <c r="D126" s="85"/>
      <c r="E126" s="86"/>
      <c r="F126" s="86"/>
      <c r="G126" s="86"/>
      <c r="H126" s="86"/>
      <c r="I126" s="86"/>
      <c r="J126" s="86"/>
      <c r="K126" s="86"/>
      <c r="L126" s="86"/>
      <c r="M126" s="86"/>
      <c r="N126" s="86"/>
      <c r="O126" s="87"/>
      <c r="P126" s="87"/>
      <c r="Q126" s="87"/>
      <c r="R126" s="87"/>
      <c r="S126" s="87"/>
      <c r="T126" s="87"/>
      <c r="U126" s="87"/>
      <c r="V126" s="87"/>
      <c r="W126" s="87"/>
      <c r="X126" s="87"/>
    </row>
    <row r="127" spans="1:24" x14ac:dyDescent="0.2">
      <c r="A127" s="84"/>
      <c r="B127" s="24">
        <v>117</v>
      </c>
      <c r="C127" s="84"/>
      <c r="D127" s="85"/>
      <c r="E127" s="86"/>
      <c r="F127" s="86"/>
      <c r="G127" s="86"/>
      <c r="H127" s="86"/>
      <c r="I127" s="86"/>
      <c r="J127" s="86"/>
      <c r="K127" s="86"/>
      <c r="L127" s="86"/>
      <c r="M127" s="86"/>
      <c r="N127" s="86"/>
      <c r="O127" s="87"/>
      <c r="P127" s="87"/>
      <c r="Q127" s="87"/>
      <c r="R127" s="87"/>
      <c r="S127" s="87"/>
      <c r="T127" s="87"/>
      <c r="U127" s="87"/>
      <c r="V127" s="87"/>
      <c r="W127" s="87"/>
      <c r="X127" s="87"/>
    </row>
    <row r="128" spans="1:24" x14ac:dyDescent="0.2">
      <c r="A128" s="84"/>
      <c r="B128" s="24">
        <v>118</v>
      </c>
      <c r="C128" s="84"/>
      <c r="D128" s="85"/>
      <c r="E128" s="86"/>
      <c r="F128" s="86"/>
      <c r="G128" s="86"/>
      <c r="H128" s="86"/>
      <c r="I128" s="86"/>
      <c r="J128" s="86"/>
      <c r="K128" s="86"/>
      <c r="L128" s="86"/>
      <c r="M128" s="86"/>
      <c r="N128" s="86"/>
      <c r="O128" s="87"/>
      <c r="P128" s="87"/>
      <c r="Q128" s="87"/>
      <c r="R128" s="87"/>
      <c r="S128" s="87"/>
      <c r="T128" s="87"/>
      <c r="U128" s="87"/>
      <c r="V128" s="87"/>
      <c r="W128" s="87"/>
      <c r="X128" s="87"/>
    </row>
    <row r="129" spans="1:24" x14ac:dyDescent="0.2">
      <c r="A129" s="84"/>
      <c r="B129" s="24">
        <v>119</v>
      </c>
      <c r="C129" s="84"/>
      <c r="D129" s="85"/>
      <c r="E129" s="86"/>
      <c r="F129" s="86"/>
      <c r="G129" s="86"/>
      <c r="H129" s="86"/>
      <c r="I129" s="86"/>
      <c r="J129" s="86"/>
      <c r="K129" s="86"/>
      <c r="L129" s="86"/>
      <c r="M129" s="86"/>
      <c r="N129" s="86"/>
      <c r="O129" s="87"/>
      <c r="P129" s="87"/>
      <c r="Q129" s="87"/>
      <c r="R129" s="87"/>
      <c r="S129" s="87"/>
      <c r="T129" s="87"/>
      <c r="U129" s="87"/>
      <c r="V129" s="87"/>
      <c r="W129" s="87"/>
      <c r="X129" s="87"/>
    </row>
    <row r="130" spans="1:24" x14ac:dyDescent="0.2">
      <c r="A130" s="84"/>
      <c r="B130" s="24">
        <v>120</v>
      </c>
      <c r="C130" s="84"/>
      <c r="D130" s="85"/>
      <c r="E130" s="86"/>
      <c r="F130" s="86"/>
      <c r="G130" s="86"/>
      <c r="H130" s="86"/>
      <c r="I130" s="86"/>
      <c r="J130" s="86"/>
      <c r="K130" s="86"/>
      <c r="L130" s="86"/>
      <c r="M130" s="86"/>
      <c r="N130" s="86"/>
      <c r="O130" s="87"/>
      <c r="P130" s="87"/>
      <c r="Q130" s="87"/>
      <c r="R130" s="87"/>
      <c r="S130" s="87"/>
      <c r="T130" s="87"/>
      <c r="U130" s="87"/>
      <c r="V130" s="87"/>
      <c r="W130" s="87"/>
      <c r="X130" s="87"/>
    </row>
    <row r="131" spans="1:24" x14ac:dyDescent="0.2">
      <c r="A131" s="84"/>
      <c r="B131" s="24">
        <v>121</v>
      </c>
      <c r="C131" s="84"/>
      <c r="D131" s="85"/>
      <c r="E131" s="86"/>
      <c r="F131" s="86"/>
      <c r="G131" s="86"/>
      <c r="H131" s="86"/>
      <c r="I131" s="86"/>
      <c r="J131" s="86"/>
      <c r="K131" s="86"/>
      <c r="L131" s="86"/>
      <c r="M131" s="86"/>
      <c r="N131" s="86"/>
      <c r="O131" s="87"/>
      <c r="P131" s="87"/>
      <c r="Q131" s="87"/>
      <c r="R131" s="87"/>
      <c r="S131" s="87"/>
      <c r="T131" s="87"/>
      <c r="U131" s="87"/>
      <c r="V131" s="87"/>
      <c r="W131" s="87"/>
      <c r="X131" s="87"/>
    </row>
    <row r="132" spans="1:24" x14ac:dyDescent="0.2">
      <c r="A132" s="84"/>
      <c r="B132" s="24">
        <v>122</v>
      </c>
      <c r="C132" s="84"/>
      <c r="D132" s="85"/>
      <c r="E132" s="86"/>
      <c r="F132" s="86"/>
      <c r="G132" s="86"/>
      <c r="H132" s="86"/>
      <c r="I132" s="86"/>
      <c r="J132" s="86"/>
      <c r="K132" s="86"/>
      <c r="L132" s="86"/>
      <c r="M132" s="86"/>
      <c r="N132" s="86"/>
      <c r="O132" s="87"/>
      <c r="P132" s="87"/>
      <c r="Q132" s="87"/>
      <c r="R132" s="87"/>
      <c r="S132" s="87"/>
      <c r="T132" s="87"/>
      <c r="U132" s="87"/>
      <c r="V132" s="87"/>
      <c r="W132" s="87"/>
      <c r="X132" s="87"/>
    </row>
    <row r="133" spans="1:24" x14ac:dyDescent="0.2">
      <c r="A133" s="84"/>
      <c r="B133" s="24">
        <v>123</v>
      </c>
      <c r="C133" s="84"/>
      <c r="D133" s="85"/>
      <c r="E133" s="86"/>
      <c r="F133" s="86"/>
      <c r="G133" s="86"/>
      <c r="H133" s="86"/>
      <c r="I133" s="86"/>
      <c r="J133" s="86"/>
      <c r="K133" s="86"/>
      <c r="L133" s="86"/>
      <c r="M133" s="86"/>
      <c r="N133" s="86"/>
      <c r="O133" s="87"/>
      <c r="P133" s="87"/>
      <c r="Q133" s="87"/>
      <c r="R133" s="87"/>
      <c r="S133" s="87"/>
      <c r="T133" s="87"/>
      <c r="U133" s="87"/>
      <c r="V133" s="87"/>
      <c r="W133" s="87"/>
      <c r="X133" s="87"/>
    </row>
    <row r="134" spans="1:24" x14ac:dyDescent="0.2">
      <c r="A134" s="84"/>
      <c r="B134" s="24">
        <v>124</v>
      </c>
      <c r="C134" s="84"/>
      <c r="D134" s="85"/>
      <c r="E134" s="86"/>
      <c r="F134" s="86"/>
      <c r="G134" s="86"/>
      <c r="H134" s="86"/>
      <c r="I134" s="86"/>
      <c r="J134" s="86"/>
      <c r="K134" s="86"/>
      <c r="L134" s="86"/>
      <c r="M134" s="86"/>
      <c r="N134" s="86"/>
      <c r="O134" s="87"/>
      <c r="P134" s="87"/>
      <c r="Q134" s="87"/>
      <c r="R134" s="87"/>
      <c r="S134" s="87"/>
      <c r="T134" s="87"/>
      <c r="U134" s="87"/>
      <c r="V134" s="87"/>
      <c r="W134" s="87"/>
      <c r="X134" s="87"/>
    </row>
    <row r="135" spans="1:24" x14ac:dyDescent="0.2">
      <c r="A135" s="84"/>
      <c r="B135" s="24">
        <v>125</v>
      </c>
      <c r="C135" s="84"/>
      <c r="D135" s="85"/>
      <c r="E135" s="86"/>
      <c r="F135" s="86"/>
      <c r="G135" s="86"/>
      <c r="H135" s="86"/>
      <c r="I135" s="86"/>
      <c r="J135" s="86"/>
      <c r="K135" s="86"/>
      <c r="L135" s="86"/>
      <c r="M135" s="86"/>
      <c r="N135" s="86"/>
      <c r="O135" s="87"/>
      <c r="P135" s="87"/>
      <c r="Q135" s="87"/>
      <c r="R135" s="87"/>
      <c r="S135" s="87"/>
      <c r="T135" s="87"/>
      <c r="U135" s="87"/>
      <c r="V135" s="87"/>
      <c r="W135" s="87"/>
      <c r="X135" s="87"/>
    </row>
    <row r="136" spans="1:24" x14ac:dyDescent="0.2">
      <c r="A136" s="84"/>
      <c r="B136" s="24">
        <v>126</v>
      </c>
      <c r="C136" s="84"/>
      <c r="D136" s="85"/>
      <c r="E136" s="86"/>
      <c r="F136" s="86"/>
      <c r="G136" s="86"/>
      <c r="H136" s="86"/>
      <c r="I136" s="86"/>
      <c r="J136" s="86"/>
      <c r="K136" s="86"/>
      <c r="L136" s="86"/>
      <c r="M136" s="86"/>
      <c r="N136" s="86"/>
      <c r="O136" s="87"/>
      <c r="P136" s="87"/>
      <c r="Q136" s="87"/>
      <c r="R136" s="87"/>
      <c r="S136" s="87"/>
      <c r="T136" s="87"/>
      <c r="U136" s="87"/>
      <c r="V136" s="87"/>
      <c r="W136" s="87"/>
      <c r="X136" s="87"/>
    </row>
    <row r="137" spans="1:24" x14ac:dyDescent="0.2">
      <c r="A137" s="84"/>
      <c r="B137" s="24">
        <v>127</v>
      </c>
      <c r="C137" s="84"/>
      <c r="D137" s="85"/>
      <c r="E137" s="86"/>
      <c r="F137" s="86"/>
      <c r="G137" s="86"/>
      <c r="H137" s="86"/>
      <c r="I137" s="86"/>
      <c r="J137" s="86"/>
      <c r="K137" s="86"/>
      <c r="L137" s="86"/>
      <c r="M137" s="86"/>
      <c r="N137" s="86"/>
      <c r="O137" s="87"/>
      <c r="P137" s="87"/>
      <c r="Q137" s="87"/>
      <c r="R137" s="87"/>
      <c r="S137" s="87"/>
      <c r="T137" s="87"/>
      <c r="U137" s="87"/>
      <c r="V137" s="87"/>
      <c r="W137" s="87"/>
      <c r="X137" s="87"/>
    </row>
    <row r="138" spans="1:24" x14ac:dyDescent="0.2">
      <c r="A138" s="84"/>
      <c r="B138" s="24">
        <v>128</v>
      </c>
      <c r="C138" s="84"/>
      <c r="D138" s="85"/>
      <c r="E138" s="86"/>
      <c r="F138" s="86"/>
      <c r="G138" s="86"/>
      <c r="H138" s="86"/>
      <c r="I138" s="86"/>
      <c r="J138" s="86"/>
      <c r="K138" s="86"/>
      <c r="L138" s="86"/>
      <c r="M138" s="86"/>
      <c r="N138" s="86"/>
      <c r="O138" s="87"/>
      <c r="P138" s="87"/>
      <c r="Q138" s="87"/>
      <c r="R138" s="87"/>
      <c r="S138" s="87"/>
      <c r="T138" s="87"/>
      <c r="U138" s="87"/>
      <c r="V138" s="87"/>
      <c r="W138" s="87"/>
      <c r="X138" s="87"/>
    </row>
    <row r="139" spans="1:24" x14ac:dyDescent="0.2">
      <c r="A139" s="84"/>
      <c r="B139" s="24">
        <v>129</v>
      </c>
      <c r="C139" s="84"/>
      <c r="D139" s="85"/>
      <c r="E139" s="86"/>
      <c r="F139" s="86"/>
      <c r="G139" s="86"/>
      <c r="H139" s="86"/>
      <c r="I139" s="86"/>
      <c r="J139" s="86"/>
      <c r="K139" s="86"/>
      <c r="L139" s="86"/>
      <c r="M139" s="86"/>
      <c r="N139" s="86"/>
      <c r="O139" s="87"/>
      <c r="P139" s="87"/>
      <c r="Q139" s="87"/>
      <c r="R139" s="87"/>
      <c r="S139" s="87"/>
      <c r="T139" s="87"/>
      <c r="U139" s="87"/>
      <c r="V139" s="87"/>
      <c r="W139" s="87"/>
      <c r="X139" s="87"/>
    </row>
    <row r="140" spans="1:24" x14ac:dyDescent="0.2">
      <c r="A140" s="84"/>
      <c r="B140" s="24">
        <v>130</v>
      </c>
      <c r="C140" s="84"/>
      <c r="D140" s="85"/>
      <c r="E140" s="86"/>
      <c r="F140" s="86"/>
      <c r="G140" s="86"/>
      <c r="H140" s="86"/>
      <c r="I140" s="86"/>
      <c r="J140" s="86"/>
      <c r="K140" s="86"/>
      <c r="L140" s="86"/>
      <c r="M140" s="86"/>
      <c r="N140" s="86"/>
      <c r="O140" s="87"/>
      <c r="P140" s="87"/>
      <c r="Q140" s="87"/>
      <c r="R140" s="87"/>
      <c r="S140" s="87"/>
      <c r="T140" s="87"/>
      <c r="U140" s="87"/>
      <c r="V140" s="87"/>
      <c r="W140" s="87"/>
      <c r="X140" s="87"/>
    </row>
    <row r="141" spans="1:24" x14ac:dyDescent="0.2">
      <c r="A141" s="84"/>
      <c r="B141" s="24">
        <v>131</v>
      </c>
      <c r="C141" s="84"/>
      <c r="D141" s="85"/>
      <c r="E141" s="86"/>
      <c r="F141" s="86"/>
      <c r="G141" s="86"/>
      <c r="H141" s="86"/>
      <c r="I141" s="86"/>
      <c r="J141" s="86"/>
      <c r="K141" s="86"/>
      <c r="L141" s="86"/>
      <c r="M141" s="86"/>
      <c r="N141" s="86"/>
      <c r="O141" s="87"/>
      <c r="P141" s="87"/>
      <c r="Q141" s="87"/>
      <c r="R141" s="87"/>
      <c r="S141" s="87"/>
      <c r="T141" s="87"/>
      <c r="U141" s="87"/>
      <c r="V141" s="87"/>
      <c r="W141" s="87"/>
      <c r="X141" s="87"/>
    </row>
    <row r="142" spans="1:24" x14ac:dyDescent="0.2">
      <c r="A142" s="84"/>
      <c r="B142" s="24">
        <v>132</v>
      </c>
      <c r="C142" s="84"/>
      <c r="D142" s="85"/>
      <c r="E142" s="86"/>
      <c r="F142" s="86"/>
      <c r="G142" s="86"/>
      <c r="H142" s="86"/>
      <c r="I142" s="86"/>
      <c r="J142" s="86"/>
      <c r="K142" s="86"/>
      <c r="L142" s="86"/>
      <c r="M142" s="86"/>
      <c r="N142" s="86"/>
      <c r="O142" s="87"/>
      <c r="P142" s="87"/>
      <c r="Q142" s="87"/>
      <c r="R142" s="87"/>
      <c r="S142" s="87"/>
      <c r="T142" s="87"/>
      <c r="U142" s="87"/>
      <c r="V142" s="87"/>
      <c r="W142" s="87"/>
      <c r="X142" s="87"/>
    </row>
    <row r="143" spans="1:24" x14ac:dyDescent="0.2">
      <c r="A143" s="84"/>
      <c r="B143" s="24">
        <v>133</v>
      </c>
      <c r="C143" s="84"/>
      <c r="D143" s="85"/>
      <c r="E143" s="86"/>
      <c r="F143" s="86"/>
      <c r="G143" s="86"/>
      <c r="H143" s="86"/>
      <c r="I143" s="86"/>
      <c r="J143" s="86"/>
      <c r="K143" s="86"/>
      <c r="L143" s="86"/>
      <c r="M143" s="86"/>
      <c r="N143" s="86"/>
      <c r="O143" s="87"/>
      <c r="P143" s="87"/>
      <c r="Q143" s="87"/>
      <c r="R143" s="87"/>
      <c r="S143" s="87"/>
      <c r="T143" s="87"/>
      <c r="U143" s="87"/>
      <c r="V143" s="87"/>
      <c r="W143" s="87"/>
      <c r="X143" s="87"/>
    </row>
    <row r="144" spans="1:24" x14ac:dyDescent="0.2">
      <c r="A144" s="84"/>
      <c r="B144" s="24">
        <v>134</v>
      </c>
      <c r="C144" s="84"/>
      <c r="D144" s="85"/>
      <c r="E144" s="86"/>
      <c r="F144" s="86"/>
      <c r="G144" s="86"/>
      <c r="H144" s="86"/>
      <c r="I144" s="86"/>
      <c r="J144" s="86"/>
      <c r="K144" s="86"/>
      <c r="L144" s="86"/>
      <c r="M144" s="86"/>
      <c r="N144" s="86"/>
      <c r="O144" s="87"/>
      <c r="P144" s="87"/>
      <c r="Q144" s="87"/>
      <c r="R144" s="87"/>
      <c r="S144" s="87"/>
      <c r="T144" s="87"/>
      <c r="U144" s="87"/>
      <c r="V144" s="87"/>
      <c r="W144" s="87"/>
      <c r="X144" s="87"/>
    </row>
    <row r="145" spans="1:24" x14ac:dyDescent="0.2">
      <c r="A145" s="84"/>
      <c r="B145" s="24">
        <v>135</v>
      </c>
      <c r="C145" s="84"/>
      <c r="D145" s="85"/>
      <c r="E145" s="86"/>
      <c r="F145" s="86"/>
      <c r="G145" s="86"/>
      <c r="H145" s="86"/>
      <c r="I145" s="86"/>
      <c r="J145" s="86"/>
      <c r="K145" s="86"/>
      <c r="L145" s="86"/>
      <c r="M145" s="86"/>
      <c r="N145" s="86"/>
      <c r="O145" s="87"/>
      <c r="P145" s="87"/>
      <c r="Q145" s="87"/>
      <c r="R145" s="87"/>
      <c r="S145" s="87"/>
      <c r="T145" s="87"/>
      <c r="U145" s="87"/>
      <c r="V145" s="87"/>
      <c r="W145" s="87"/>
      <c r="X145" s="87"/>
    </row>
    <row r="146" spans="1:24" x14ac:dyDescent="0.2">
      <c r="A146" s="84"/>
      <c r="B146" s="24">
        <v>136</v>
      </c>
      <c r="C146" s="84"/>
      <c r="D146" s="85"/>
      <c r="E146" s="86"/>
      <c r="F146" s="86"/>
      <c r="G146" s="86"/>
      <c r="H146" s="86"/>
      <c r="I146" s="86"/>
      <c r="J146" s="86"/>
      <c r="K146" s="86"/>
      <c r="L146" s="86"/>
      <c r="M146" s="86"/>
      <c r="N146" s="86"/>
      <c r="O146" s="87"/>
      <c r="P146" s="87"/>
      <c r="Q146" s="87"/>
      <c r="R146" s="87"/>
      <c r="S146" s="87"/>
      <c r="T146" s="87"/>
      <c r="U146" s="87"/>
      <c r="V146" s="87"/>
      <c r="W146" s="87"/>
      <c r="X146" s="87"/>
    </row>
    <row r="147" spans="1:24" x14ac:dyDescent="0.2">
      <c r="A147" s="84"/>
      <c r="B147" s="24">
        <v>137</v>
      </c>
      <c r="C147" s="84"/>
      <c r="D147" s="85"/>
      <c r="E147" s="86"/>
      <c r="F147" s="86"/>
      <c r="G147" s="86"/>
      <c r="H147" s="86"/>
      <c r="I147" s="86"/>
      <c r="J147" s="86"/>
      <c r="K147" s="86"/>
      <c r="L147" s="86"/>
      <c r="M147" s="86"/>
      <c r="N147" s="86"/>
      <c r="O147" s="87"/>
      <c r="P147" s="87"/>
      <c r="Q147" s="87"/>
      <c r="R147" s="87"/>
      <c r="S147" s="87"/>
      <c r="T147" s="87"/>
      <c r="U147" s="87"/>
      <c r="V147" s="87"/>
      <c r="W147" s="87"/>
      <c r="X147" s="87"/>
    </row>
    <row r="148" spans="1:24" x14ac:dyDescent="0.2">
      <c r="A148" s="84"/>
      <c r="B148" s="24">
        <v>138</v>
      </c>
      <c r="C148" s="84"/>
      <c r="D148" s="85"/>
      <c r="E148" s="86"/>
      <c r="F148" s="86"/>
      <c r="G148" s="86"/>
      <c r="H148" s="86"/>
      <c r="I148" s="86"/>
      <c r="J148" s="86"/>
      <c r="K148" s="86"/>
      <c r="L148" s="86"/>
      <c r="M148" s="86"/>
      <c r="N148" s="86"/>
      <c r="O148" s="87"/>
      <c r="P148" s="87"/>
      <c r="Q148" s="87"/>
      <c r="R148" s="87"/>
      <c r="S148" s="87"/>
      <c r="T148" s="87"/>
      <c r="U148" s="87"/>
      <c r="V148" s="87"/>
      <c r="W148" s="87"/>
      <c r="X148" s="87"/>
    </row>
    <row r="149" spans="1:24" x14ac:dyDescent="0.2">
      <c r="A149" s="84"/>
      <c r="B149" s="24">
        <v>139</v>
      </c>
      <c r="C149" s="84"/>
      <c r="D149" s="85"/>
      <c r="E149" s="86"/>
      <c r="F149" s="86"/>
      <c r="G149" s="86"/>
      <c r="H149" s="86"/>
      <c r="I149" s="86"/>
      <c r="J149" s="86"/>
      <c r="K149" s="86"/>
      <c r="L149" s="86"/>
      <c r="M149" s="86"/>
      <c r="N149" s="86"/>
      <c r="O149" s="87"/>
      <c r="P149" s="87"/>
      <c r="Q149" s="87"/>
      <c r="R149" s="87"/>
      <c r="S149" s="87"/>
      <c r="T149" s="87"/>
      <c r="U149" s="87"/>
      <c r="V149" s="87"/>
      <c r="W149" s="87"/>
      <c r="X149" s="87"/>
    </row>
    <row r="150" spans="1:24" x14ac:dyDescent="0.2">
      <c r="A150" s="84"/>
      <c r="B150" s="24">
        <v>140</v>
      </c>
      <c r="C150" s="84"/>
      <c r="D150" s="85"/>
      <c r="E150" s="86"/>
      <c r="F150" s="86"/>
      <c r="G150" s="86"/>
      <c r="H150" s="86"/>
      <c r="I150" s="86"/>
      <c r="J150" s="86"/>
      <c r="K150" s="86"/>
      <c r="L150" s="86"/>
      <c r="M150" s="86"/>
      <c r="N150" s="86"/>
      <c r="O150" s="87"/>
      <c r="P150" s="87"/>
      <c r="Q150" s="87"/>
      <c r="R150" s="87"/>
      <c r="S150" s="87"/>
      <c r="T150" s="87"/>
      <c r="U150" s="87"/>
      <c r="V150" s="87"/>
      <c r="W150" s="87"/>
      <c r="X150" s="87"/>
    </row>
    <row r="151" spans="1:24" x14ac:dyDescent="0.2">
      <c r="A151" s="84"/>
      <c r="B151" s="24">
        <v>141</v>
      </c>
      <c r="C151" s="84"/>
      <c r="D151" s="85"/>
      <c r="E151" s="86"/>
      <c r="F151" s="86"/>
      <c r="G151" s="86"/>
      <c r="H151" s="86"/>
      <c r="I151" s="86"/>
      <c r="J151" s="86"/>
      <c r="K151" s="86"/>
      <c r="L151" s="86"/>
      <c r="M151" s="86"/>
      <c r="N151" s="86"/>
      <c r="O151" s="87"/>
      <c r="P151" s="87"/>
      <c r="Q151" s="87"/>
      <c r="R151" s="87"/>
      <c r="S151" s="87"/>
      <c r="T151" s="87"/>
      <c r="U151" s="87"/>
      <c r="V151" s="87"/>
      <c r="W151" s="87"/>
      <c r="X151" s="87"/>
    </row>
    <row r="152" spans="1:24" x14ac:dyDescent="0.2">
      <c r="A152" s="84"/>
      <c r="B152" s="24">
        <v>142</v>
      </c>
      <c r="C152" s="84"/>
      <c r="D152" s="85"/>
      <c r="E152" s="86"/>
      <c r="F152" s="86"/>
      <c r="G152" s="86"/>
      <c r="H152" s="86"/>
      <c r="I152" s="86"/>
      <c r="J152" s="86"/>
      <c r="K152" s="86"/>
      <c r="L152" s="86"/>
      <c r="M152" s="86"/>
      <c r="N152" s="86"/>
      <c r="O152" s="87"/>
      <c r="P152" s="87"/>
      <c r="Q152" s="87"/>
      <c r="R152" s="87"/>
      <c r="S152" s="87"/>
      <c r="T152" s="87"/>
      <c r="U152" s="87"/>
      <c r="V152" s="87"/>
      <c r="W152" s="87"/>
      <c r="X152" s="87"/>
    </row>
    <row r="153" spans="1:24" x14ac:dyDescent="0.2">
      <c r="A153" s="84"/>
      <c r="B153" s="24">
        <v>143</v>
      </c>
      <c r="C153" s="84"/>
      <c r="D153" s="85"/>
      <c r="E153" s="86"/>
      <c r="F153" s="86"/>
      <c r="G153" s="86"/>
      <c r="H153" s="86"/>
      <c r="I153" s="86"/>
      <c r="J153" s="86"/>
      <c r="K153" s="86"/>
      <c r="L153" s="86"/>
      <c r="M153" s="86"/>
      <c r="N153" s="86"/>
      <c r="O153" s="87"/>
      <c r="P153" s="87"/>
      <c r="Q153" s="87"/>
      <c r="R153" s="87"/>
      <c r="S153" s="87"/>
      <c r="T153" s="87"/>
      <c r="U153" s="87"/>
      <c r="V153" s="87"/>
      <c r="W153" s="87"/>
      <c r="X153" s="87"/>
    </row>
    <row r="154" spans="1:24" x14ac:dyDescent="0.2">
      <c r="A154" s="84"/>
      <c r="B154" s="24">
        <v>144</v>
      </c>
      <c r="C154" s="84"/>
      <c r="D154" s="85"/>
      <c r="E154" s="86"/>
      <c r="F154" s="86"/>
      <c r="G154" s="86"/>
      <c r="H154" s="86"/>
      <c r="I154" s="86"/>
      <c r="J154" s="86"/>
      <c r="K154" s="86"/>
      <c r="L154" s="86"/>
      <c r="M154" s="86"/>
      <c r="N154" s="86"/>
      <c r="O154" s="87"/>
      <c r="P154" s="87"/>
      <c r="Q154" s="87"/>
      <c r="R154" s="87"/>
      <c r="S154" s="87"/>
      <c r="T154" s="87"/>
      <c r="U154" s="87"/>
      <c r="V154" s="87"/>
      <c r="W154" s="87"/>
      <c r="X154" s="87"/>
    </row>
    <row r="155" spans="1:24" x14ac:dyDescent="0.2">
      <c r="A155" s="84"/>
      <c r="B155" s="24">
        <v>145</v>
      </c>
      <c r="C155" s="84"/>
      <c r="D155" s="85"/>
      <c r="E155" s="86"/>
      <c r="F155" s="86"/>
      <c r="G155" s="86"/>
      <c r="H155" s="86"/>
      <c r="I155" s="86"/>
      <c r="J155" s="86"/>
      <c r="K155" s="86"/>
      <c r="L155" s="86"/>
      <c r="M155" s="86"/>
      <c r="N155" s="86"/>
      <c r="O155" s="87"/>
      <c r="P155" s="87"/>
      <c r="Q155" s="87"/>
      <c r="R155" s="87"/>
      <c r="S155" s="87"/>
      <c r="T155" s="87"/>
      <c r="U155" s="87"/>
      <c r="V155" s="87"/>
      <c r="W155" s="87"/>
      <c r="X155" s="87"/>
    </row>
    <row r="156" spans="1:24" x14ac:dyDescent="0.2">
      <c r="A156" s="84"/>
      <c r="B156" s="24">
        <v>146</v>
      </c>
      <c r="C156" s="84"/>
      <c r="D156" s="85"/>
      <c r="E156" s="86"/>
      <c r="F156" s="86"/>
      <c r="G156" s="86"/>
      <c r="H156" s="86"/>
      <c r="I156" s="86"/>
      <c r="J156" s="86"/>
      <c r="K156" s="86"/>
      <c r="L156" s="86"/>
      <c r="M156" s="86"/>
      <c r="N156" s="86"/>
      <c r="O156" s="87"/>
      <c r="P156" s="87"/>
      <c r="Q156" s="87"/>
      <c r="R156" s="87"/>
      <c r="S156" s="87"/>
      <c r="T156" s="87"/>
      <c r="U156" s="87"/>
      <c r="V156" s="87"/>
      <c r="W156" s="87"/>
      <c r="X156" s="87"/>
    </row>
    <row r="157" spans="1:24" x14ac:dyDescent="0.2">
      <c r="A157" s="84"/>
      <c r="B157" s="24">
        <v>147</v>
      </c>
      <c r="C157" s="84"/>
      <c r="D157" s="85"/>
      <c r="E157" s="86"/>
      <c r="F157" s="86"/>
      <c r="G157" s="86"/>
      <c r="H157" s="86"/>
      <c r="I157" s="86"/>
      <c r="J157" s="86"/>
      <c r="K157" s="86"/>
      <c r="L157" s="86"/>
      <c r="M157" s="86"/>
      <c r="N157" s="86"/>
      <c r="O157" s="87"/>
      <c r="P157" s="87"/>
      <c r="Q157" s="87"/>
      <c r="R157" s="87"/>
      <c r="S157" s="87"/>
      <c r="T157" s="87"/>
      <c r="U157" s="87"/>
      <c r="V157" s="87"/>
      <c r="W157" s="87"/>
      <c r="X157" s="87"/>
    </row>
    <row r="158" spans="1:24" x14ac:dyDescent="0.2">
      <c r="A158" s="84"/>
      <c r="B158" s="24">
        <v>148</v>
      </c>
      <c r="C158" s="84"/>
      <c r="D158" s="85"/>
      <c r="E158" s="86"/>
      <c r="F158" s="86"/>
      <c r="G158" s="86"/>
      <c r="H158" s="86"/>
      <c r="I158" s="86"/>
      <c r="J158" s="86"/>
      <c r="K158" s="86"/>
      <c r="L158" s="86"/>
      <c r="M158" s="86"/>
      <c r="N158" s="86"/>
      <c r="O158" s="87"/>
      <c r="P158" s="87"/>
      <c r="Q158" s="87"/>
      <c r="R158" s="87"/>
      <c r="S158" s="87"/>
      <c r="T158" s="87"/>
      <c r="U158" s="87"/>
      <c r="V158" s="87"/>
      <c r="W158" s="87"/>
      <c r="X158" s="87"/>
    </row>
    <row r="159" spans="1:24" x14ac:dyDescent="0.2">
      <c r="A159" s="84"/>
      <c r="B159" s="24">
        <v>149</v>
      </c>
      <c r="C159" s="84"/>
      <c r="D159" s="85"/>
      <c r="E159" s="86"/>
      <c r="F159" s="86"/>
      <c r="G159" s="86"/>
      <c r="H159" s="86"/>
      <c r="I159" s="86"/>
      <c r="J159" s="86"/>
      <c r="K159" s="86"/>
      <c r="L159" s="86"/>
      <c r="M159" s="86"/>
      <c r="N159" s="86"/>
      <c r="O159" s="87"/>
      <c r="P159" s="87"/>
      <c r="Q159" s="87"/>
      <c r="R159" s="87"/>
      <c r="S159" s="87"/>
      <c r="T159" s="87"/>
      <c r="U159" s="87"/>
      <c r="V159" s="87"/>
      <c r="W159" s="87"/>
      <c r="X159" s="87"/>
    </row>
    <row r="160" spans="1:24" x14ac:dyDescent="0.2">
      <c r="A160" s="84"/>
      <c r="B160" s="24">
        <v>150</v>
      </c>
      <c r="C160" s="84"/>
      <c r="D160" s="85"/>
      <c r="E160" s="86"/>
      <c r="F160" s="86"/>
      <c r="G160" s="86"/>
      <c r="H160" s="86"/>
      <c r="I160" s="86"/>
      <c r="J160" s="86"/>
      <c r="K160" s="86"/>
      <c r="L160" s="86"/>
      <c r="M160" s="86"/>
      <c r="N160" s="86"/>
      <c r="O160" s="87"/>
      <c r="P160" s="87"/>
      <c r="Q160" s="87"/>
      <c r="R160" s="87"/>
      <c r="S160" s="87"/>
      <c r="T160" s="87"/>
      <c r="U160" s="87"/>
      <c r="V160" s="87"/>
      <c r="W160" s="87"/>
      <c r="X160" s="87"/>
    </row>
  </sheetData>
  <sheetProtection sheet="1"/>
  <phoneticPr fontId="0" type="noConversion"/>
  <pageMargins left="0.75" right="0.75" top="1" bottom="1" header="0.5" footer="0.5"/>
  <pageSetup orientation="landscape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P161"/>
  <sheetViews>
    <sheetView topLeftCell="A70" workbookViewId="0">
      <selection activeCell="C3" sqref="C3"/>
    </sheetView>
  </sheetViews>
  <sheetFormatPr defaultColWidth="8.85546875" defaultRowHeight="12.75" x14ac:dyDescent="0.2"/>
  <cols>
    <col min="1" max="1" width="3" bestFit="1" customWidth="1"/>
    <col min="2" max="3" width="5.42578125" style="8" bestFit="1" customWidth="1"/>
    <col min="4" max="5" width="7.42578125" style="9" bestFit="1" customWidth="1"/>
    <col min="6" max="6" width="8.42578125" style="7" bestFit="1" customWidth="1"/>
    <col min="7" max="7" width="9.42578125" style="10" bestFit="1" customWidth="1"/>
    <col min="8" max="8" width="7.42578125" style="9" bestFit="1" customWidth="1"/>
    <col min="9" max="9" width="8.140625" style="5" bestFit="1" customWidth="1"/>
    <col min="10" max="10" width="6.42578125" style="5" bestFit="1" customWidth="1"/>
    <col min="11" max="11" width="8.140625" style="6" bestFit="1" customWidth="1"/>
    <col min="12" max="12" width="8.42578125" style="7" bestFit="1" customWidth="1"/>
    <col min="13" max="13" width="10.140625" style="4" bestFit="1" customWidth="1"/>
    <col min="14" max="14" width="10.28515625" style="3" bestFit="1" customWidth="1"/>
    <col min="15" max="15" width="8.7109375" style="1" bestFit="1" customWidth="1"/>
    <col min="16" max="16" width="12.7109375" style="2" bestFit="1" customWidth="1"/>
    <col min="17" max="17" width="1.7109375" bestFit="1" customWidth="1"/>
    <col min="19" max="32" width="10.28515625" style="24" customWidth="1"/>
    <col min="33" max="33" width="10.85546875" style="24" customWidth="1"/>
    <col min="34" max="41" width="10.28515625" style="24" customWidth="1"/>
    <col min="42" max="42" width="10.28515625" customWidth="1"/>
  </cols>
  <sheetData>
    <row r="1" spans="1:36" ht="15.75" x14ac:dyDescent="0.25">
      <c r="A1" s="48" t="s">
        <v>131</v>
      </c>
      <c r="H1"/>
      <c r="I1" s="24"/>
      <c r="J1" s="24"/>
      <c r="R1" s="48" t="s">
        <v>133</v>
      </c>
      <c r="V1"/>
      <c r="AA1" s="48" t="s">
        <v>133</v>
      </c>
      <c r="AE1"/>
      <c r="AF1" s="48" t="s">
        <v>139</v>
      </c>
      <c r="AJ1"/>
    </row>
    <row r="2" spans="1:36" x14ac:dyDescent="0.2">
      <c r="A2" s="24" t="s">
        <v>134</v>
      </c>
      <c r="R2" s="24" t="s">
        <v>132</v>
      </c>
      <c r="S2"/>
      <c r="T2"/>
      <c r="U2"/>
      <c r="V2"/>
      <c r="AA2" s="24" t="s">
        <v>135</v>
      </c>
      <c r="AC2"/>
      <c r="AD2"/>
      <c r="AE2"/>
      <c r="AF2" s="24" t="s">
        <v>140</v>
      </c>
      <c r="AG2"/>
      <c r="AH2"/>
      <c r="AI2"/>
    </row>
    <row r="3" spans="1:36" x14ac:dyDescent="0.2">
      <c r="S3"/>
      <c r="T3"/>
      <c r="U3"/>
      <c r="V3"/>
      <c r="AC3"/>
      <c r="AD3"/>
      <c r="AE3"/>
      <c r="AG3"/>
      <c r="AH3"/>
      <c r="AI3"/>
    </row>
    <row r="4" spans="1:36" x14ac:dyDescent="0.2">
      <c r="S4"/>
      <c r="T4"/>
      <c r="U4"/>
      <c r="V4"/>
      <c r="AG4"/>
      <c r="AH4"/>
      <c r="AI4"/>
    </row>
    <row r="5" spans="1:36" x14ac:dyDescent="0.2">
      <c r="S5"/>
      <c r="U5"/>
      <c r="AG5"/>
      <c r="AH5"/>
      <c r="AI5"/>
    </row>
    <row r="6" spans="1:36" x14ac:dyDescent="0.2">
      <c r="A6" t="s">
        <v>1</v>
      </c>
    </row>
    <row r="7" spans="1:36" x14ac:dyDescent="0.2">
      <c r="A7" t="s">
        <v>4</v>
      </c>
      <c r="R7" t="s">
        <v>1</v>
      </c>
      <c r="AF7" t="s">
        <v>9</v>
      </c>
    </row>
    <row r="8" spans="1:36" x14ac:dyDescent="0.2">
      <c r="A8" t="s">
        <v>5</v>
      </c>
      <c r="R8" t="s">
        <v>12</v>
      </c>
      <c r="AA8" t="s">
        <v>136</v>
      </c>
      <c r="AB8"/>
      <c r="AF8" t="s">
        <v>10</v>
      </c>
    </row>
    <row r="9" spans="1:36" x14ac:dyDescent="0.2">
      <c r="A9" t="s">
        <v>6</v>
      </c>
      <c r="R9" t="s">
        <v>2</v>
      </c>
      <c r="AB9" t="s">
        <v>137</v>
      </c>
      <c r="AF9" t="s">
        <v>11</v>
      </c>
    </row>
    <row r="10" spans="1:36" x14ac:dyDescent="0.2">
      <c r="A10" t="s">
        <v>7</v>
      </c>
      <c r="T10" t="s">
        <v>3</v>
      </c>
      <c r="AB10" s="24" t="s">
        <v>138</v>
      </c>
      <c r="AF10" t="s">
        <v>8</v>
      </c>
    </row>
    <row r="11" spans="1:36" x14ac:dyDescent="0.2">
      <c r="A11" s="37">
        <v>1</v>
      </c>
      <c r="B11" s="38">
        <v>1.262</v>
      </c>
      <c r="C11" s="38">
        <v>1.44</v>
      </c>
      <c r="D11" s="39">
        <v>242.6</v>
      </c>
      <c r="E11" s="39">
        <v>12000</v>
      </c>
      <c r="F11" s="40">
        <v>0.1159</v>
      </c>
      <c r="G11" s="41">
        <v>5.0989999999999998E-4</v>
      </c>
      <c r="H11" s="39">
        <v>54360</v>
      </c>
      <c r="I11" s="42">
        <v>-5.0519999999999996</v>
      </c>
      <c r="J11" s="42">
        <v>2.0489999999999999</v>
      </c>
      <c r="K11" s="43">
        <v>-0.3044</v>
      </c>
      <c r="L11" s="40">
        <v>1.966E-2</v>
      </c>
      <c r="M11" s="44">
        <v>-4.6589999999999999E-4</v>
      </c>
      <c r="N11" s="45">
        <v>597700</v>
      </c>
      <c r="O11" s="46">
        <v>1.008</v>
      </c>
      <c r="P11" s="47">
        <v>8.9969999999999994E-5</v>
      </c>
      <c r="Q11" s="37"/>
      <c r="R11" s="49">
        <v>0.96609999999999996</v>
      </c>
      <c r="S11" s="49">
        <v>0.41260000000000002</v>
      </c>
      <c r="T11" s="49">
        <v>6.92</v>
      </c>
      <c r="U11" s="49">
        <v>8.8309999999999995</v>
      </c>
      <c r="V11" s="49">
        <v>2.5819999999999999</v>
      </c>
      <c r="W11" s="50">
        <v>2.371</v>
      </c>
      <c r="X11" s="51">
        <v>0.54620000000000002</v>
      </c>
      <c r="Y11" s="52">
        <v>-7.9320000000000002E-2</v>
      </c>
      <c r="Z11" s="53">
        <v>-6.8529999999999997E-3</v>
      </c>
      <c r="AA11" s="54">
        <v>0.39</v>
      </c>
      <c r="AB11" s="54">
        <v>0.63</v>
      </c>
      <c r="AC11" s="54">
        <v>4.17</v>
      </c>
      <c r="AD11" s="54">
        <v>85.55</v>
      </c>
      <c r="AE11" s="54">
        <v>19.55</v>
      </c>
      <c r="AF11" s="39">
        <v>17.100000000000001</v>
      </c>
      <c r="AG11" s="39">
        <v>19</v>
      </c>
    </row>
    <row r="12" spans="1:36" x14ac:dyDescent="0.2">
      <c r="A12" s="37">
        <v>2</v>
      </c>
      <c r="B12" s="38">
        <v>1.2290000000000001</v>
      </c>
      <c r="C12" s="38">
        <v>1.397</v>
      </c>
      <c r="D12" s="39">
        <v>484.5</v>
      </c>
      <c r="E12" s="39">
        <v>5873</v>
      </c>
      <c r="F12" s="40">
        <v>5.2249999999999998E-2</v>
      </c>
      <c r="G12" s="41">
        <v>1.0200000000000001E-3</v>
      </c>
      <c r="H12" s="39">
        <v>24510</v>
      </c>
      <c r="I12" s="42">
        <v>-2.1579999999999999</v>
      </c>
      <c r="J12" s="42">
        <v>0.82779999999999998</v>
      </c>
      <c r="K12" s="43">
        <v>-0.1172</v>
      </c>
      <c r="L12" s="40">
        <v>7.2589999999999998E-3</v>
      </c>
      <c r="M12" s="44">
        <v>-1.66E-4</v>
      </c>
      <c r="N12" s="45">
        <v>150500</v>
      </c>
      <c r="O12" s="46">
        <v>4.0030000000000001</v>
      </c>
      <c r="P12" s="47">
        <v>1.786E-4</v>
      </c>
      <c r="Q12" s="37"/>
      <c r="R12" s="49">
        <v>2.0270000000000001</v>
      </c>
      <c r="S12" s="49">
        <v>0.29310000000000003</v>
      </c>
      <c r="T12" s="49">
        <v>26.34</v>
      </c>
      <c r="U12" s="49">
        <v>6.66</v>
      </c>
      <c r="V12" s="49">
        <v>0.34089999999999998</v>
      </c>
      <c r="W12" s="50">
        <v>2.8090000000000002</v>
      </c>
      <c r="X12" s="51">
        <v>0.48470000000000002</v>
      </c>
      <c r="Y12" s="52">
        <v>-8.7559999999999999E-2</v>
      </c>
      <c r="Z12" s="53">
        <v>-7.2810000000000001E-3</v>
      </c>
      <c r="AA12" s="54">
        <v>0.57999999999999996</v>
      </c>
      <c r="AB12" s="54">
        <v>0.59</v>
      </c>
      <c r="AC12" s="54">
        <v>6.3</v>
      </c>
      <c r="AD12" s="54">
        <v>130</v>
      </c>
      <c r="AE12" s="54">
        <v>44.07</v>
      </c>
      <c r="AF12" s="39">
        <v>45.1</v>
      </c>
      <c r="AG12" s="39">
        <v>42</v>
      </c>
    </row>
    <row r="13" spans="1:36" x14ac:dyDescent="0.2">
      <c r="A13" s="37">
        <v>3</v>
      </c>
      <c r="B13" s="38">
        <v>1.411</v>
      </c>
      <c r="C13" s="38">
        <v>1.6</v>
      </c>
      <c r="D13" s="39">
        <v>725.6</v>
      </c>
      <c r="E13" s="39">
        <v>3013</v>
      </c>
      <c r="F13" s="40">
        <v>4.5780000000000001E-2</v>
      </c>
      <c r="G13" s="41">
        <v>1.5299999999999999E-3</v>
      </c>
      <c r="H13" s="39">
        <v>21470</v>
      </c>
      <c r="I13" s="42">
        <v>-0.58309999999999995</v>
      </c>
      <c r="J13" s="42">
        <v>0.56200000000000006</v>
      </c>
      <c r="K13" s="43">
        <v>-0.1183</v>
      </c>
      <c r="L13" s="40">
        <v>9.2980000000000007E-3</v>
      </c>
      <c r="M13" s="44">
        <v>-2.498E-4</v>
      </c>
      <c r="N13" s="45">
        <v>86830</v>
      </c>
      <c r="O13" s="46">
        <v>6.9409999999999998</v>
      </c>
      <c r="P13" s="47">
        <v>0.53</v>
      </c>
      <c r="Q13" s="37"/>
      <c r="R13" s="49">
        <v>1.42</v>
      </c>
      <c r="S13" s="49">
        <v>0.49</v>
      </c>
      <c r="T13" s="49">
        <v>12.25</v>
      </c>
      <c r="U13" s="49">
        <v>32</v>
      </c>
      <c r="V13" s="49">
        <v>9.1609999999999996</v>
      </c>
      <c r="W13" s="50">
        <v>3.0950000000000002</v>
      </c>
      <c r="X13" s="51">
        <v>0.44340000000000002</v>
      </c>
      <c r="Y13" s="52">
        <v>-9.2590000000000006E-2</v>
      </c>
      <c r="Z13" s="53">
        <v>-7.4590000000000004E-3</v>
      </c>
      <c r="AA13" s="54">
        <v>15.23</v>
      </c>
      <c r="AB13" s="54">
        <v>0.1076</v>
      </c>
      <c r="AC13" s="54">
        <v>10.14</v>
      </c>
      <c r="AD13" s="54">
        <v>1232</v>
      </c>
      <c r="AE13" s="54">
        <v>31.24</v>
      </c>
      <c r="AF13" s="39">
        <v>47</v>
      </c>
      <c r="AG13" s="39">
        <v>37.6</v>
      </c>
    </row>
    <row r="14" spans="1:36" x14ac:dyDescent="0.2">
      <c r="A14" s="37">
        <v>4</v>
      </c>
      <c r="B14" s="38">
        <v>2.2480000000000002</v>
      </c>
      <c r="C14" s="38">
        <v>2.59</v>
      </c>
      <c r="D14" s="39">
        <v>966</v>
      </c>
      <c r="E14" s="39">
        <v>153.80000000000001</v>
      </c>
      <c r="F14" s="40">
        <v>3.4750000000000003E-2</v>
      </c>
      <c r="G14" s="41">
        <v>2.039E-3</v>
      </c>
      <c r="H14" s="39">
        <v>16300</v>
      </c>
      <c r="I14" s="42">
        <v>0.27789999999999998</v>
      </c>
      <c r="J14" s="42">
        <v>0.17449999999999999</v>
      </c>
      <c r="K14" s="43">
        <v>-5.6840000000000002E-2</v>
      </c>
      <c r="L14" s="40">
        <v>5.1549999999999999E-3</v>
      </c>
      <c r="M14" s="44">
        <v>-1.4880000000000001E-4</v>
      </c>
      <c r="N14" s="45">
        <v>66850</v>
      </c>
      <c r="O14" s="46">
        <v>9.0120000000000005</v>
      </c>
      <c r="P14" s="47">
        <v>1.802</v>
      </c>
      <c r="Q14" s="37"/>
      <c r="R14" s="49">
        <v>2.206</v>
      </c>
      <c r="S14" s="49">
        <v>0.51</v>
      </c>
      <c r="T14" s="49">
        <v>15.32</v>
      </c>
      <c r="U14" s="49">
        <v>0.25</v>
      </c>
      <c r="V14" s="49">
        <v>8.9949999999999992</v>
      </c>
      <c r="W14" s="50">
        <v>3.28</v>
      </c>
      <c r="X14" s="51">
        <v>0.41880000000000001</v>
      </c>
      <c r="Y14" s="52">
        <v>-9.5640000000000003E-2</v>
      </c>
      <c r="Z14" s="53">
        <v>-7.6039999999999996E-3</v>
      </c>
      <c r="AA14" s="54">
        <v>0</v>
      </c>
      <c r="AB14" s="54">
        <v>0</v>
      </c>
      <c r="AC14" s="54">
        <v>0</v>
      </c>
      <c r="AD14" s="54">
        <v>0</v>
      </c>
      <c r="AE14" s="54">
        <v>0</v>
      </c>
      <c r="AF14" s="39">
        <v>63</v>
      </c>
      <c r="AG14" s="39">
        <v>42.4</v>
      </c>
    </row>
    <row r="15" spans="1:36" x14ac:dyDescent="0.2">
      <c r="A15" s="37">
        <v>5</v>
      </c>
      <c r="B15" s="38">
        <v>2.4740000000000002</v>
      </c>
      <c r="C15" s="38">
        <v>2.8149999999999999</v>
      </c>
      <c r="D15" s="39">
        <v>1206</v>
      </c>
      <c r="E15" s="39">
        <v>1060</v>
      </c>
      <c r="F15" s="40">
        <v>2.8549999999999999E-2</v>
      </c>
      <c r="G15" s="41">
        <v>2.5490000000000001E-3</v>
      </c>
      <c r="H15" s="39">
        <v>13450</v>
      </c>
      <c r="I15" s="42">
        <v>-2.4449999999999998</v>
      </c>
      <c r="J15" s="42">
        <v>1.2829999999999999</v>
      </c>
      <c r="K15" s="43">
        <v>-0.2205</v>
      </c>
      <c r="L15" s="40">
        <v>1.5599999999999999E-2</v>
      </c>
      <c r="M15" s="44">
        <v>-3.9300000000000001E-4</v>
      </c>
      <c r="N15" s="45">
        <v>55730</v>
      </c>
      <c r="O15" s="46">
        <v>10.81</v>
      </c>
      <c r="P15" s="47">
        <v>2.35</v>
      </c>
      <c r="Q15" s="37"/>
      <c r="R15" s="49">
        <v>3.6909999999999998</v>
      </c>
      <c r="S15" s="49">
        <v>0.4128</v>
      </c>
      <c r="T15" s="49">
        <v>18.48</v>
      </c>
      <c r="U15" s="49">
        <v>50.72</v>
      </c>
      <c r="V15" s="49">
        <v>9</v>
      </c>
      <c r="W15" s="50">
        <v>3.4260000000000002</v>
      </c>
      <c r="X15" s="51">
        <v>0.4</v>
      </c>
      <c r="Y15" s="52">
        <v>-9.7960000000000005E-2</v>
      </c>
      <c r="Z15" s="53">
        <v>-7.7149999999999996E-3</v>
      </c>
      <c r="AA15" s="54">
        <v>0</v>
      </c>
      <c r="AB15" s="54">
        <v>0</v>
      </c>
      <c r="AC15" s="54">
        <v>0</v>
      </c>
      <c r="AD15" s="54">
        <v>0</v>
      </c>
      <c r="AE15" s="54">
        <v>0</v>
      </c>
      <c r="AF15" s="39">
        <v>75</v>
      </c>
      <c r="AG15" s="39">
        <v>52.3</v>
      </c>
    </row>
    <row r="16" spans="1:36" x14ac:dyDescent="0.2">
      <c r="A16" s="37">
        <v>6</v>
      </c>
      <c r="B16" s="38">
        <v>2.6309999999999998</v>
      </c>
      <c r="C16" s="38">
        <v>2.9889999999999999</v>
      </c>
      <c r="D16" s="39">
        <v>1445</v>
      </c>
      <c r="E16" s="39">
        <v>957.2</v>
      </c>
      <c r="F16" s="40">
        <v>2.819E-2</v>
      </c>
      <c r="G16" s="41">
        <v>3.0590000000000001E-3</v>
      </c>
      <c r="H16" s="39">
        <v>13220</v>
      </c>
      <c r="I16" s="42">
        <v>-4.38</v>
      </c>
      <c r="J16" s="42">
        <v>2.044</v>
      </c>
      <c r="K16" s="43">
        <v>-0.32829999999999998</v>
      </c>
      <c r="L16" s="40">
        <v>2.2210000000000001E-2</v>
      </c>
      <c r="M16" s="44">
        <v>-5.4169999999999999E-4</v>
      </c>
      <c r="N16" s="45">
        <v>50160</v>
      </c>
      <c r="O16" s="46">
        <v>12.010999999999999</v>
      </c>
      <c r="P16" s="47">
        <v>2.266</v>
      </c>
      <c r="Q16" s="37"/>
      <c r="R16" s="49">
        <v>4.2320000000000002</v>
      </c>
      <c r="S16" s="49">
        <v>0.38769999999999999</v>
      </c>
      <c r="T16" s="49">
        <v>22.99</v>
      </c>
      <c r="U16" s="49">
        <v>35</v>
      </c>
      <c r="V16" s="49">
        <v>7.9930000000000003</v>
      </c>
      <c r="W16" s="50">
        <v>3.5880000000000001</v>
      </c>
      <c r="X16" s="51">
        <v>0.3921</v>
      </c>
      <c r="Y16" s="52">
        <v>-9.9349999999999994E-2</v>
      </c>
      <c r="Z16" s="53">
        <v>-7.8040000000000002E-3</v>
      </c>
      <c r="AA16" s="54">
        <v>3.47</v>
      </c>
      <c r="AB16" s="54">
        <v>0.44850000000000001</v>
      </c>
      <c r="AC16" s="54">
        <v>22.37</v>
      </c>
      <c r="AD16" s="54">
        <v>36.409999999999997</v>
      </c>
      <c r="AE16" s="54">
        <v>7.9930000000000003</v>
      </c>
      <c r="AF16" s="39">
        <v>79</v>
      </c>
      <c r="AG16" s="39">
        <v>63.6</v>
      </c>
    </row>
    <row r="17" spans="1:33" x14ac:dyDescent="0.2">
      <c r="A17" s="37">
        <v>7</v>
      </c>
      <c r="B17" s="38">
        <v>2.9540000000000002</v>
      </c>
      <c r="C17" s="38">
        <v>3.35</v>
      </c>
      <c r="D17" s="39">
        <v>1683</v>
      </c>
      <c r="E17" s="39">
        <v>1900</v>
      </c>
      <c r="F17" s="40">
        <v>2.513E-2</v>
      </c>
      <c r="G17" s="41">
        <v>3.5690000000000001E-3</v>
      </c>
      <c r="H17" s="39">
        <v>11790</v>
      </c>
      <c r="I17" s="42">
        <v>-5.0540000000000003</v>
      </c>
      <c r="J17" s="42">
        <v>2.3250000000000002</v>
      </c>
      <c r="K17" s="43">
        <v>-0.37130000000000002</v>
      </c>
      <c r="L17" s="40">
        <v>2.5059999999999999E-2</v>
      </c>
      <c r="M17" s="44">
        <v>-6.1090000000000005E-4</v>
      </c>
      <c r="N17" s="45">
        <v>43020</v>
      </c>
      <c r="O17" s="46">
        <v>14.007</v>
      </c>
      <c r="P17" s="47">
        <v>1.25E-3</v>
      </c>
      <c r="Q17" s="37"/>
      <c r="R17" s="49">
        <v>2.5099999999999998</v>
      </c>
      <c r="S17" s="49">
        <v>0.47520000000000001</v>
      </c>
      <c r="T17" s="49">
        <v>38.26</v>
      </c>
      <c r="U17" s="49">
        <v>13.02</v>
      </c>
      <c r="V17" s="49">
        <v>1.8919999999999999</v>
      </c>
      <c r="W17" s="50">
        <v>3.7589999999999999</v>
      </c>
      <c r="X17" s="51">
        <v>0.40939999999999999</v>
      </c>
      <c r="Y17" s="52">
        <v>-9.6460000000000004E-2</v>
      </c>
      <c r="Z17" s="53">
        <v>-7.6610000000000003E-3</v>
      </c>
      <c r="AA17" s="54">
        <v>2</v>
      </c>
      <c r="AB17" s="54">
        <v>0.54800000000000004</v>
      </c>
      <c r="AC17" s="54">
        <v>29.82</v>
      </c>
      <c r="AD17" s="54">
        <v>18.11</v>
      </c>
      <c r="AE17" s="54">
        <v>4.37</v>
      </c>
      <c r="AF17" s="39">
        <v>83.8</v>
      </c>
      <c r="AG17" s="39">
        <v>86</v>
      </c>
    </row>
    <row r="18" spans="1:33" x14ac:dyDescent="0.2">
      <c r="A18" s="37">
        <v>8</v>
      </c>
      <c r="B18" s="38">
        <v>2.6520000000000001</v>
      </c>
      <c r="C18" s="38">
        <v>3</v>
      </c>
      <c r="D18" s="39">
        <v>1920</v>
      </c>
      <c r="E18" s="39">
        <v>2000</v>
      </c>
      <c r="F18" s="40">
        <v>2.23E-2</v>
      </c>
      <c r="G18" s="41">
        <v>4.0790000000000002E-3</v>
      </c>
      <c r="H18" s="39">
        <v>10460</v>
      </c>
      <c r="I18" s="42">
        <v>-6.734</v>
      </c>
      <c r="J18" s="42">
        <v>3.0190000000000001</v>
      </c>
      <c r="K18" s="43">
        <v>-0.4748</v>
      </c>
      <c r="L18" s="40">
        <v>3.1710000000000002E-2</v>
      </c>
      <c r="M18" s="44">
        <v>-7.6690000000000005E-4</v>
      </c>
      <c r="N18" s="45">
        <v>37660</v>
      </c>
      <c r="O18" s="46">
        <v>15.999000000000001</v>
      </c>
      <c r="P18" s="47">
        <v>1.428E-3</v>
      </c>
      <c r="Q18" s="37"/>
      <c r="R18" s="49">
        <v>1.766</v>
      </c>
      <c r="S18" s="49">
        <v>0.52610000000000001</v>
      </c>
      <c r="T18" s="49">
        <v>37.11</v>
      </c>
      <c r="U18" s="49">
        <v>15.24</v>
      </c>
      <c r="V18" s="49">
        <v>2.8039999999999998</v>
      </c>
      <c r="W18" s="50">
        <v>3.782</v>
      </c>
      <c r="X18" s="51">
        <v>0.37340000000000001</v>
      </c>
      <c r="Y18" s="52">
        <v>-0.1011</v>
      </c>
      <c r="Z18" s="53">
        <v>-7.8740000000000008E-3</v>
      </c>
      <c r="AA18" s="54">
        <v>2.7170000000000001</v>
      </c>
      <c r="AB18" s="54">
        <v>0.48580000000000001</v>
      </c>
      <c r="AC18" s="54">
        <v>32.880000000000003</v>
      </c>
      <c r="AD18" s="54">
        <v>25.88</v>
      </c>
      <c r="AE18" s="54">
        <v>4.3360000000000003</v>
      </c>
      <c r="AF18" s="39">
        <v>105.4</v>
      </c>
      <c r="AG18" s="39">
        <v>99</v>
      </c>
    </row>
    <row r="19" spans="1:33" x14ac:dyDescent="0.2">
      <c r="A19" s="37">
        <v>9</v>
      </c>
      <c r="B19" s="38">
        <v>2.085</v>
      </c>
      <c r="C19" s="38">
        <v>2.3519999999999999</v>
      </c>
      <c r="D19" s="39">
        <v>2157</v>
      </c>
      <c r="E19" s="39">
        <v>2634</v>
      </c>
      <c r="F19" s="40">
        <v>1.8159999999999999E-2</v>
      </c>
      <c r="G19" s="41">
        <v>4.5890000000000002E-3</v>
      </c>
      <c r="H19" s="39">
        <v>8517</v>
      </c>
      <c r="I19" s="42">
        <v>-5.5709999999999997</v>
      </c>
      <c r="J19" s="42">
        <v>2.4489999999999998</v>
      </c>
      <c r="K19" s="43">
        <v>-0.37809999999999999</v>
      </c>
      <c r="L19" s="40">
        <v>2.4830000000000001E-2</v>
      </c>
      <c r="M19" s="44">
        <v>-5.9190000000000002E-4</v>
      </c>
      <c r="N19" s="45">
        <v>31710</v>
      </c>
      <c r="O19" s="46">
        <v>18.998000000000001</v>
      </c>
      <c r="P19" s="47">
        <v>1.696E-3</v>
      </c>
      <c r="Q19" s="37"/>
      <c r="R19" s="49">
        <v>1.5329999999999999</v>
      </c>
      <c r="S19" s="49">
        <v>0.53100000000000003</v>
      </c>
      <c r="T19" s="49">
        <v>40.44</v>
      </c>
      <c r="U19" s="49">
        <v>18.41</v>
      </c>
      <c r="V19" s="49">
        <v>2.718</v>
      </c>
      <c r="W19" s="50">
        <v>3.8159999999999998</v>
      </c>
      <c r="X19" s="51">
        <v>0.35039999999999999</v>
      </c>
      <c r="Y19" s="52">
        <v>-0.1046</v>
      </c>
      <c r="Z19" s="53">
        <v>-8.0739999999999996E-3</v>
      </c>
      <c r="AA19" s="54">
        <v>2.6160000000000001</v>
      </c>
      <c r="AB19" s="54">
        <v>0.4708</v>
      </c>
      <c r="AC19" s="54">
        <v>41.2</v>
      </c>
      <c r="AD19" s="54">
        <v>28.07</v>
      </c>
      <c r="AE19" s="54">
        <v>2.4580000000000002</v>
      </c>
      <c r="AF19" s="39">
        <v>128.80000000000001</v>
      </c>
      <c r="AG19" s="39">
        <v>118.8</v>
      </c>
    </row>
    <row r="20" spans="1:33" x14ac:dyDescent="0.2">
      <c r="A20" s="37">
        <v>10</v>
      </c>
      <c r="B20" s="38">
        <v>1.9510000000000001</v>
      </c>
      <c r="C20" s="38">
        <v>2.1989999999999998</v>
      </c>
      <c r="D20" s="39">
        <v>2393</v>
      </c>
      <c r="E20" s="39">
        <v>2699</v>
      </c>
      <c r="F20" s="40">
        <v>1.5679999999999999E-2</v>
      </c>
      <c r="G20" s="41">
        <v>5.0990000000000002E-3</v>
      </c>
      <c r="H20" s="39">
        <v>7353</v>
      </c>
      <c r="I20" s="42">
        <v>-4.4080000000000004</v>
      </c>
      <c r="J20" s="42">
        <v>1.879</v>
      </c>
      <c r="K20" s="43">
        <v>-0.28139999999999998</v>
      </c>
      <c r="L20" s="40">
        <v>1.796E-2</v>
      </c>
      <c r="M20" s="44">
        <v>-4.1679999999999999E-4</v>
      </c>
      <c r="N20" s="45">
        <v>29850</v>
      </c>
      <c r="O20" s="46">
        <v>20.178999999999998</v>
      </c>
      <c r="P20" s="47">
        <v>9.0090000000000005E-4</v>
      </c>
      <c r="Q20" s="37"/>
      <c r="R20" s="49">
        <v>1.1830000000000001</v>
      </c>
      <c r="S20" s="49">
        <v>0.55000000000000004</v>
      </c>
      <c r="T20" s="49">
        <v>39.83</v>
      </c>
      <c r="U20" s="49">
        <v>17.489999999999998</v>
      </c>
      <c r="V20" s="49">
        <v>4.0010000000000003</v>
      </c>
      <c r="W20" s="50">
        <v>3.863</v>
      </c>
      <c r="X20" s="51">
        <v>0.3342</v>
      </c>
      <c r="Y20" s="52">
        <v>-0.1072</v>
      </c>
      <c r="Z20" s="53">
        <v>-8.2310000000000005E-3</v>
      </c>
      <c r="AA20" s="54">
        <v>2.3029999999999999</v>
      </c>
      <c r="AB20" s="54">
        <v>0.48609999999999998</v>
      </c>
      <c r="AC20" s="54">
        <v>37.01</v>
      </c>
      <c r="AD20" s="54">
        <v>37.96</v>
      </c>
      <c r="AE20" s="54">
        <v>5.0919999999999996</v>
      </c>
      <c r="AF20" s="39">
        <v>154.30000000000001</v>
      </c>
      <c r="AG20" s="39">
        <v>135</v>
      </c>
    </row>
    <row r="21" spans="1:33" x14ac:dyDescent="0.2">
      <c r="A21" s="37">
        <v>11</v>
      </c>
      <c r="B21" s="38">
        <v>2.5419999999999998</v>
      </c>
      <c r="C21" s="38">
        <v>2.8690000000000002</v>
      </c>
      <c r="D21" s="39">
        <v>2628</v>
      </c>
      <c r="E21" s="39">
        <v>1854</v>
      </c>
      <c r="F21" s="40">
        <v>1.472E-2</v>
      </c>
      <c r="G21" s="41">
        <v>5.6090000000000003E-3</v>
      </c>
      <c r="H21" s="39">
        <v>6905</v>
      </c>
      <c r="I21" s="42">
        <v>-4.9589999999999996</v>
      </c>
      <c r="J21" s="42">
        <v>2.073</v>
      </c>
      <c r="K21" s="43">
        <v>-0.3054</v>
      </c>
      <c r="L21" s="40">
        <v>1.9210000000000001E-2</v>
      </c>
      <c r="M21" s="44">
        <v>-4.4030000000000002E-4</v>
      </c>
      <c r="N21" s="45">
        <v>26210</v>
      </c>
      <c r="O21" s="46">
        <v>22.99</v>
      </c>
      <c r="P21" s="47">
        <v>0.97</v>
      </c>
      <c r="Q21" s="37"/>
      <c r="R21" s="49">
        <v>9.8940000000000001</v>
      </c>
      <c r="S21" s="49">
        <v>0.30809999999999998</v>
      </c>
      <c r="T21" s="49">
        <v>23.65</v>
      </c>
      <c r="U21" s="49">
        <v>0.38400000000000001</v>
      </c>
      <c r="V21" s="49">
        <v>92.93</v>
      </c>
      <c r="W21" s="50">
        <v>3.8980000000000001</v>
      </c>
      <c r="X21" s="51">
        <v>0.31909999999999999</v>
      </c>
      <c r="Y21" s="52">
        <v>-0.1086</v>
      </c>
      <c r="Z21" s="53">
        <v>-8.2710000000000006E-3</v>
      </c>
      <c r="AA21" s="54">
        <v>13.03</v>
      </c>
      <c r="AB21" s="54">
        <v>0.26850000000000002</v>
      </c>
      <c r="AC21" s="54">
        <v>35.65</v>
      </c>
      <c r="AD21" s="54">
        <v>44.18</v>
      </c>
      <c r="AE21" s="54">
        <v>9.1750000000000007</v>
      </c>
      <c r="AF21" s="39">
        <v>141</v>
      </c>
      <c r="AG21" s="39">
        <v>131.80000000000001</v>
      </c>
    </row>
    <row r="22" spans="1:33" x14ac:dyDescent="0.2">
      <c r="A22" s="37">
        <v>12</v>
      </c>
      <c r="B22" s="38">
        <v>3.7919999999999998</v>
      </c>
      <c r="C22" s="38">
        <v>4.2930000000000001</v>
      </c>
      <c r="D22" s="39">
        <v>2862</v>
      </c>
      <c r="E22" s="39">
        <v>1009</v>
      </c>
      <c r="F22" s="40">
        <v>1.397E-2</v>
      </c>
      <c r="G22" s="41">
        <v>6.1180000000000002E-3</v>
      </c>
      <c r="H22" s="39">
        <v>6551</v>
      </c>
      <c r="I22" s="42">
        <v>-5.51</v>
      </c>
      <c r="J22" s="42">
        <v>2.266</v>
      </c>
      <c r="K22" s="43">
        <v>-0.32950000000000002</v>
      </c>
      <c r="L22" s="40">
        <v>2.0469999999999999E-2</v>
      </c>
      <c r="M22" s="44">
        <v>-4.637E-4</v>
      </c>
      <c r="N22" s="45">
        <v>24780</v>
      </c>
      <c r="O22" s="46">
        <v>24.305</v>
      </c>
      <c r="P22" s="47">
        <v>1.7370000000000001</v>
      </c>
      <c r="Q22" s="37"/>
      <c r="R22" s="49">
        <v>4.3</v>
      </c>
      <c r="S22" s="49">
        <v>0.47</v>
      </c>
      <c r="T22" s="49">
        <v>34.299999999999997</v>
      </c>
      <c r="U22" s="49">
        <v>3.3</v>
      </c>
      <c r="V22" s="49">
        <v>12.74</v>
      </c>
      <c r="W22" s="50">
        <v>3.9609999999999999</v>
      </c>
      <c r="X22" s="51">
        <v>0.314</v>
      </c>
      <c r="Y22" s="52">
        <v>-0.1091</v>
      </c>
      <c r="Z22" s="53">
        <v>-8.2970000000000006E-3</v>
      </c>
      <c r="AA22" s="54">
        <v>0</v>
      </c>
      <c r="AB22" s="54">
        <v>0</v>
      </c>
      <c r="AC22" s="54">
        <v>0</v>
      </c>
      <c r="AD22" s="54">
        <v>0</v>
      </c>
      <c r="AE22" s="54">
        <v>0</v>
      </c>
      <c r="AF22" s="39">
        <v>149</v>
      </c>
      <c r="AG22" s="39">
        <v>132.6</v>
      </c>
    </row>
    <row r="23" spans="1:33" x14ac:dyDescent="0.2">
      <c r="A23" s="37">
        <v>13</v>
      </c>
      <c r="B23" s="38">
        <v>4.1539999999999999</v>
      </c>
      <c r="C23" s="38">
        <v>4.7389999999999999</v>
      </c>
      <c r="D23" s="39">
        <v>2766</v>
      </c>
      <c r="E23" s="39">
        <v>164.5</v>
      </c>
      <c r="F23" s="40">
        <v>2.0230000000000001E-2</v>
      </c>
      <c r="G23" s="41">
        <v>6.6280000000000002E-3</v>
      </c>
      <c r="H23" s="39">
        <v>6309</v>
      </c>
      <c r="I23" s="42">
        <v>-6.0609999999999999</v>
      </c>
      <c r="J23" s="42">
        <v>2.46</v>
      </c>
      <c r="K23" s="43">
        <v>-0.35349999999999998</v>
      </c>
      <c r="L23" s="40">
        <v>2.1729999999999999E-2</v>
      </c>
      <c r="M23" s="44">
        <v>-4.8710000000000002E-4</v>
      </c>
      <c r="N23" s="45">
        <v>22330</v>
      </c>
      <c r="O23" s="46">
        <v>26.981999999999999</v>
      </c>
      <c r="P23" s="47">
        <v>2.698</v>
      </c>
      <c r="Q23" s="37"/>
      <c r="R23" s="49">
        <v>2.5</v>
      </c>
      <c r="S23" s="49">
        <v>0.625</v>
      </c>
      <c r="T23" s="49">
        <v>45.7</v>
      </c>
      <c r="U23" s="49">
        <v>0.1</v>
      </c>
      <c r="V23" s="49">
        <v>4.359</v>
      </c>
      <c r="W23" s="50">
        <v>4.024</v>
      </c>
      <c r="X23" s="51">
        <v>0.31130000000000002</v>
      </c>
      <c r="Y23" s="52">
        <v>-0.10929999999999999</v>
      </c>
      <c r="Z23" s="53">
        <v>-8.3059999999999991E-3</v>
      </c>
      <c r="AA23" s="54">
        <v>0</v>
      </c>
      <c r="AB23" s="54">
        <v>0</v>
      </c>
      <c r="AC23" s="54">
        <v>0</v>
      </c>
      <c r="AD23" s="54">
        <v>0</v>
      </c>
      <c r="AE23" s="54">
        <v>0</v>
      </c>
      <c r="AF23" s="39">
        <v>162</v>
      </c>
      <c r="AG23" s="39">
        <v>133.4</v>
      </c>
    </row>
    <row r="24" spans="1:33" x14ac:dyDescent="0.2">
      <c r="A24" s="37">
        <v>14</v>
      </c>
      <c r="B24" s="38">
        <v>4.1500000000000004</v>
      </c>
      <c r="C24" s="38">
        <v>4.7</v>
      </c>
      <c r="D24" s="39">
        <v>3329</v>
      </c>
      <c r="E24" s="39">
        <v>550</v>
      </c>
      <c r="F24" s="40">
        <v>1.321E-2</v>
      </c>
      <c r="G24" s="41">
        <v>7.1380000000000002E-3</v>
      </c>
      <c r="H24" s="39">
        <v>6194</v>
      </c>
      <c r="I24" s="42">
        <v>-6.2939999999999996</v>
      </c>
      <c r="J24" s="42">
        <v>2.5379999999999998</v>
      </c>
      <c r="K24" s="43">
        <v>-0.36280000000000001</v>
      </c>
      <c r="L24" s="40">
        <v>2.2200000000000001E-2</v>
      </c>
      <c r="M24" s="44">
        <v>-4.9560000000000001E-4</v>
      </c>
      <c r="N24" s="45">
        <v>21450</v>
      </c>
      <c r="O24" s="46">
        <v>28.085999999999999</v>
      </c>
      <c r="P24" s="47">
        <v>2.3210000000000002</v>
      </c>
      <c r="Q24" s="37"/>
      <c r="R24" s="49">
        <v>2.1</v>
      </c>
      <c r="S24" s="49">
        <v>0.65</v>
      </c>
      <c r="T24" s="49">
        <v>49.34</v>
      </c>
      <c r="U24" s="49">
        <v>1.788</v>
      </c>
      <c r="V24" s="49">
        <v>4.133</v>
      </c>
      <c r="W24" s="50">
        <v>4.077</v>
      </c>
      <c r="X24" s="51">
        <v>0.30740000000000001</v>
      </c>
      <c r="Y24" s="52">
        <v>-0.1089</v>
      </c>
      <c r="Z24" s="53">
        <v>-8.2190000000000006E-3</v>
      </c>
      <c r="AA24" s="54">
        <v>0</v>
      </c>
      <c r="AB24" s="54">
        <v>0</v>
      </c>
      <c r="AC24" s="54">
        <v>0</v>
      </c>
      <c r="AD24" s="54">
        <v>0</v>
      </c>
      <c r="AE24" s="54">
        <v>0</v>
      </c>
      <c r="AF24" s="39">
        <v>159</v>
      </c>
      <c r="AG24" s="39">
        <v>139.80000000000001</v>
      </c>
    </row>
    <row r="25" spans="1:33" x14ac:dyDescent="0.2">
      <c r="A25" s="37">
        <v>15</v>
      </c>
      <c r="B25" s="38">
        <v>3.2320000000000002</v>
      </c>
      <c r="C25" s="38">
        <v>3.6469999999999998</v>
      </c>
      <c r="D25" s="39">
        <v>3561</v>
      </c>
      <c r="E25" s="39">
        <v>1560</v>
      </c>
      <c r="F25" s="40">
        <v>1.2670000000000001E-2</v>
      </c>
      <c r="G25" s="41">
        <v>7.6480000000000003E-3</v>
      </c>
      <c r="H25" s="39">
        <v>5942</v>
      </c>
      <c r="I25" s="42">
        <v>-6.5270000000000001</v>
      </c>
      <c r="J25" s="42">
        <v>2.6160000000000001</v>
      </c>
      <c r="K25" s="43">
        <v>-0.37209999999999999</v>
      </c>
      <c r="L25" s="40">
        <v>2.2669999999999999E-2</v>
      </c>
      <c r="M25" s="44">
        <v>-5.04E-4</v>
      </c>
      <c r="N25" s="45">
        <v>19450</v>
      </c>
      <c r="O25" s="46">
        <v>30.974</v>
      </c>
      <c r="P25" s="47">
        <v>1.8220000000000001</v>
      </c>
      <c r="Q25" s="37"/>
      <c r="R25" s="49">
        <v>1.7290000000000001</v>
      </c>
      <c r="S25" s="49">
        <v>0.65620000000000001</v>
      </c>
      <c r="T25" s="49">
        <v>53.41</v>
      </c>
      <c r="U25" s="49">
        <v>2.4049999999999998</v>
      </c>
      <c r="V25" s="49">
        <v>3.8450000000000002</v>
      </c>
      <c r="W25" s="50">
        <v>4.1239999999999997</v>
      </c>
      <c r="X25" s="51">
        <v>0.30230000000000001</v>
      </c>
      <c r="Y25" s="52">
        <v>-0.1094</v>
      </c>
      <c r="Z25" s="53">
        <v>-8.2400000000000008E-3</v>
      </c>
      <c r="AA25" s="54">
        <v>0</v>
      </c>
      <c r="AB25" s="54">
        <v>0</v>
      </c>
      <c r="AC25" s="54">
        <v>0</v>
      </c>
      <c r="AD25" s="54">
        <v>0</v>
      </c>
      <c r="AE25" s="54">
        <v>0</v>
      </c>
      <c r="AF25" s="39">
        <v>168.9</v>
      </c>
      <c r="AG25" s="39">
        <v>148</v>
      </c>
    </row>
    <row r="26" spans="1:33" x14ac:dyDescent="0.2">
      <c r="A26" s="37">
        <v>16</v>
      </c>
      <c r="B26" s="38">
        <v>3.4470000000000001</v>
      </c>
      <c r="C26" s="38">
        <v>3.891</v>
      </c>
      <c r="D26" s="39">
        <v>3792</v>
      </c>
      <c r="E26" s="39">
        <v>1219</v>
      </c>
      <c r="F26" s="40">
        <v>1.2109999999999999E-2</v>
      </c>
      <c r="G26" s="41">
        <v>8.1580000000000003E-3</v>
      </c>
      <c r="H26" s="39">
        <v>5678</v>
      </c>
      <c r="I26" s="42">
        <v>-6.7610000000000001</v>
      </c>
      <c r="J26" s="42">
        <v>2.694</v>
      </c>
      <c r="K26" s="43">
        <v>-0.38140000000000002</v>
      </c>
      <c r="L26" s="40">
        <v>2.3140000000000001E-2</v>
      </c>
      <c r="M26" s="44">
        <v>-5.1250000000000004E-4</v>
      </c>
      <c r="N26" s="45">
        <v>18790</v>
      </c>
      <c r="O26" s="46">
        <v>32.06</v>
      </c>
      <c r="P26" s="47">
        <v>2.069</v>
      </c>
      <c r="Q26" s="37"/>
      <c r="R26" s="49">
        <v>1.4019999999999999</v>
      </c>
      <c r="S26" s="49">
        <v>0.67910000000000004</v>
      </c>
      <c r="T26" s="49">
        <v>58.98</v>
      </c>
      <c r="U26" s="49">
        <v>3.528</v>
      </c>
      <c r="V26" s="49">
        <v>3.2109999999999999</v>
      </c>
      <c r="W26" s="50">
        <v>4.1639999999999997</v>
      </c>
      <c r="X26" s="51">
        <v>0.2964</v>
      </c>
      <c r="Y26" s="52">
        <v>-0.1101</v>
      </c>
      <c r="Z26" s="53">
        <v>-8.267E-3</v>
      </c>
      <c r="AA26" s="54">
        <v>3.1160000000000001</v>
      </c>
      <c r="AB26" s="54">
        <v>0.5988</v>
      </c>
      <c r="AC26" s="54">
        <v>53.71</v>
      </c>
      <c r="AD26" s="54">
        <v>5.6319999999999997</v>
      </c>
      <c r="AE26" s="54">
        <v>4.5359999999999996</v>
      </c>
      <c r="AF26" s="39">
        <v>179.2</v>
      </c>
      <c r="AG26" s="39">
        <v>158.6</v>
      </c>
    </row>
    <row r="27" spans="1:33" x14ac:dyDescent="0.2">
      <c r="A27" s="37">
        <v>17</v>
      </c>
      <c r="B27" s="38">
        <v>5.0469999999999997</v>
      </c>
      <c r="C27" s="38">
        <v>5.7140000000000004</v>
      </c>
      <c r="D27" s="39">
        <v>4023</v>
      </c>
      <c r="E27" s="39">
        <v>878.6</v>
      </c>
      <c r="F27" s="40">
        <v>1.1780000000000001E-2</v>
      </c>
      <c r="G27" s="41">
        <v>8.6680000000000004E-3</v>
      </c>
      <c r="H27" s="39">
        <v>5524</v>
      </c>
      <c r="I27" s="42">
        <v>-6.9939999999999998</v>
      </c>
      <c r="J27" s="42">
        <v>2.7730000000000001</v>
      </c>
      <c r="K27" s="43">
        <v>-0.39069999999999999</v>
      </c>
      <c r="L27" s="40">
        <v>2.3609999999999999E-2</v>
      </c>
      <c r="M27" s="44">
        <v>-5.2090000000000003E-4</v>
      </c>
      <c r="N27" s="45">
        <v>16990</v>
      </c>
      <c r="O27" s="46">
        <v>35.453000000000003</v>
      </c>
      <c r="P27" s="47">
        <v>3.1649999999999998E-3</v>
      </c>
      <c r="Q27" s="37"/>
      <c r="R27" s="49">
        <v>1.117</v>
      </c>
      <c r="S27" s="49">
        <v>0.70440000000000003</v>
      </c>
      <c r="T27" s="49">
        <v>69.69</v>
      </c>
      <c r="U27" s="49">
        <v>3.7050000000000001</v>
      </c>
      <c r="V27" s="49">
        <v>2.1560000000000001</v>
      </c>
      <c r="W27" s="50">
        <v>4.21</v>
      </c>
      <c r="X27" s="51">
        <v>0.29360000000000003</v>
      </c>
      <c r="Y27" s="52">
        <v>-0.1103</v>
      </c>
      <c r="Z27" s="53">
        <v>-8.2699999999999996E-3</v>
      </c>
      <c r="AA27" s="54">
        <v>3.3650000000000002</v>
      </c>
      <c r="AB27" s="54">
        <v>0.57099999999999995</v>
      </c>
      <c r="AC27" s="54">
        <v>63.67</v>
      </c>
      <c r="AD27" s="54">
        <v>6.1820000000000004</v>
      </c>
      <c r="AE27" s="54">
        <v>2.9689999999999999</v>
      </c>
      <c r="AF27" s="39">
        <v>187.2</v>
      </c>
      <c r="AG27" s="39">
        <v>170.3</v>
      </c>
    </row>
    <row r="28" spans="1:33" x14ac:dyDescent="0.2">
      <c r="A28" s="37">
        <v>18</v>
      </c>
      <c r="B28" s="38">
        <v>5.7309999999999999</v>
      </c>
      <c r="C28" s="38">
        <v>6.5</v>
      </c>
      <c r="D28" s="39">
        <v>4253</v>
      </c>
      <c r="E28" s="39">
        <v>530</v>
      </c>
      <c r="F28" s="40">
        <v>1.123E-2</v>
      </c>
      <c r="G28" s="41">
        <v>9.1780000000000004E-3</v>
      </c>
      <c r="H28" s="39">
        <v>5268</v>
      </c>
      <c r="I28" s="42">
        <v>-7.2270000000000003</v>
      </c>
      <c r="J28" s="42">
        <v>2.851</v>
      </c>
      <c r="K28" s="43">
        <v>-0.4</v>
      </c>
      <c r="L28" s="40">
        <v>2.4070000000000001E-2</v>
      </c>
      <c r="M28" s="44">
        <v>-5.2939999999999997E-4</v>
      </c>
      <c r="N28" s="45">
        <v>15080</v>
      </c>
      <c r="O28" s="46">
        <v>39.948</v>
      </c>
      <c r="P28" s="47">
        <v>1.7830000000000001E-3</v>
      </c>
      <c r="Q28" s="37"/>
      <c r="R28" s="49">
        <v>0.91720000000000002</v>
      </c>
      <c r="S28" s="49">
        <v>0.72399999999999998</v>
      </c>
      <c r="T28" s="49">
        <v>79.44</v>
      </c>
      <c r="U28" s="49">
        <v>3.6480000000000001</v>
      </c>
      <c r="V28" s="49">
        <v>1.6459999999999999</v>
      </c>
      <c r="W28" s="50">
        <v>4.2610000000000001</v>
      </c>
      <c r="X28" s="51">
        <v>0.2994</v>
      </c>
      <c r="Y28" s="52">
        <v>-0.1085</v>
      </c>
      <c r="Z28" s="53">
        <v>-8.1449999999999995E-3</v>
      </c>
      <c r="AA28" s="54">
        <v>2.2909999999999999</v>
      </c>
      <c r="AB28" s="54">
        <v>0.62839999999999996</v>
      </c>
      <c r="AC28" s="54">
        <v>73.88</v>
      </c>
      <c r="AD28" s="54">
        <v>4.4779999999999998</v>
      </c>
      <c r="AE28" s="54">
        <v>2.0659999999999998</v>
      </c>
      <c r="AF28" s="39">
        <v>199.3</v>
      </c>
      <c r="AG28" s="39">
        <v>180</v>
      </c>
    </row>
    <row r="29" spans="1:33" x14ac:dyDescent="0.2">
      <c r="A29" s="37">
        <v>19</v>
      </c>
      <c r="B29" s="38">
        <v>5.1509999999999998</v>
      </c>
      <c r="C29" s="38">
        <v>5.8330000000000002</v>
      </c>
      <c r="D29" s="39">
        <v>4482</v>
      </c>
      <c r="E29" s="39">
        <v>545.70000000000005</v>
      </c>
      <c r="F29" s="40">
        <v>1.129E-2</v>
      </c>
      <c r="G29" s="41">
        <v>9.6869999999999994E-3</v>
      </c>
      <c r="H29" s="39">
        <v>5295</v>
      </c>
      <c r="I29" s="42">
        <v>-7.44</v>
      </c>
      <c r="J29" s="42">
        <v>2.923</v>
      </c>
      <c r="K29" s="43">
        <v>-0.40939999999999999</v>
      </c>
      <c r="L29" s="40">
        <v>2.462E-2</v>
      </c>
      <c r="M29" s="44">
        <v>-5.4109999999999998E-4</v>
      </c>
      <c r="N29" s="45">
        <v>15410</v>
      </c>
      <c r="O29" s="46">
        <v>39.097999999999999</v>
      </c>
      <c r="P29" s="47">
        <v>0.86299999999999999</v>
      </c>
      <c r="Q29" s="37"/>
      <c r="R29" s="49">
        <v>8.5540000000000003</v>
      </c>
      <c r="S29" s="49">
        <v>0.38169999999999998</v>
      </c>
      <c r="T29" s="49">
        <v>83.61</v>
      </c>
      <c r="U29" s="49">
        <v>11.84</v>
      </c>
      <c r="V29" s="49">
        <v>1.875</v>
      </c>
      <c r="W29" s="50">
        <v>4.3</v>
      </c>
      <c r="X29" s="51">
        <v>0.2903</v>
      </c>
      <c r="Y29" s="52">
        <v>-0.1103</v>
      </c>
      <c r="Z29" s="53">
        <v>-8.2590000000000007E-3</v>
      </c>
      <c r="AA29" s="54">
        <v>16.600000000000001</v>
      </c>
      <c r="AB29" s="54">
        <v>0.3095</v>
      </c>
      <c r="AC29" s="54">
        <v>99.1</v>
      </c>
      <c r="AD29" s="54">
        <v>10.98</v>
      </c>
      <c r="AE29" s="54">
        <v>1.0920000000000001</v>
      </c>
      <c r="AF29" s="39">
        <v>189.4</v>
      </c>
      <c r="AG29" s="39">
        <v>170.8</v>
      </c>
    </row>
    <row r="30" spans="1:33" x14ac:dyDescent="0.2">
      <c r="A30" s="37">
        <v>20</v>
      </c>
      <c r="B30" s="38">
        <v>5.5209999999999999</v>
      </c>
      <c r="C30" s="38">
        <v>6.2519999999999998</v>
      </c>
      <c r="D30" s="39">
        <v>4710</v>
      </c>
      <c r="E30" s="39">
        <v>553.29999999999995</v>
      </c>
      <c r="F30" s="40">
        <v>1.112E-2</v>
      </c>
      <c r="G30" s="41">
        <v>1.0200000000000001E-2</v>
      </c>
      <c r="H30" s="39">
        <v>5214</v>
      </c>
      <c r="I30" s="42">
        <v>-7.6529999999999996</v>
      </c>
      <c r="J30" s="42">
        <v>2.9950000000000001</v>
      </c>
      <c r="K30" s="43">
        <v>-0.41870000000000002</v>
      </c>
      <c r="L30" s="40">
        <v>2.5159999999999998E-2</v>
      </c>
      <c r="M30" s="44">
        <v>-5.5290000000000005E-4</v>
      </c>
      <c r="N30" s="45">
        <v>15030</v>
      </c>
      <c r="O30" s="46">
        <v>40.08</v>
      </c>
      <c r="P30" s="47">
        <v>1.34</v>
      </c>
      <c r="Q30" s="37"/>
      <c r="R30" s="49">
        <v>6.2969999999999997</v>
      </c>
      <c r="S30" s="49">
        <v>0.4622</v>
      </c>
      <c r="T30" s="49">
        <v>65.39</v>
      </c>
      <c r="U30" s="49">
        <v>10.14</v>
      </c>
      <c r="V30" s="49">
        <v>5.0359999999999996</v>
      </c>
      <c r="W30" s="50">
        <v>4.3339999999999996</v>
      </c>
      <c r="X30" s="51">
        <v>0.28970000000000001</v>
      </c>
      <c r="Y30" s="52">
        <v>-0.11020000000000001</v>
      </c>
      <c r="Z30" s="53">
        <v>-8.2450000000000006E-3</v>
      </c>
      <c r="AA30" s="54">
        <v>0</v>
      </c>
      <c r="AB30" s="54">
        <v>0</v>
      </c>
      <c r="AC30" s="54">
        <v>0</v>
      </c>
      <c r="AD30" s="54">
        <v>0</v>
      </c>
      <c r="AE30" s="54">
        <v>0</v>
      </c>
      <c r="AF30" s="39">
        <v>195</v>
      </c>
      <c r="AG30" s="39">
        <v>169.6</v>
      </c>
    </row>
    <row r="31" spans="1:33" x14ac:dyDescent="0.2">
      <c r="A31" s="37">
        <v>21</v>
      </c>
      <c r="B31" s="38">
        <v>5.2009999999999996</v>
      </c>
      <c r="C31" s="38">
        <v>5.8840000000000003</v>
      </c>
      <c r="D31" s="39">
        <v>4938</v>
      </c>
      <c r="E31" s="39">
        <v>560.9</v>
      </c>
      <c r="F31" s="40">
        <v>9.9950000000000004E-3</v>
      </c>
      <c r="G31" s="41">
        <v>1.0710000000000001E-2</v>
      </c>
      <c r="H31" s="39">
        <v>4688</v>
      </c>
      <c r="I31" s="42">
        <v>-8.0120000000000005</v>
      </c>
      <c r="J31" s="42">
        <v>3.1230000000000002</v>
      </c>
      <c r="K31" s="43">
        <v>-0.435</v>
      </c>
      <c r="L31" s="40">
        <v>2.605E-2</v>
      </c>
      <c r="M31" s="44">
        <v>-5.7070000000000005E-4</v>
      </c>
      <c r="N31" s="45">
        <v>13400</v>
      </c>
      <c r="O31" s="46">
        <v>44.956000000000003</v>
      </c>
      <c r="P31" s="47">
        <v>2.9969999999999999</v>
      </c>
      <c r="Q31" s="37"/>
      <c r="R31" s="49">
        <v>5.3070000000000004</v>
      </c>
      <c r="S31" s="49">
        <v>0.49180000000000001</v>
      </c>
      <c r="T31" s="49">
        <v>61.74</v>
      </c>
      <c r="U31" s="49">
        <v>12.4</v>
      </c>
      <c r="V31" s="49">
        <v>6.665</v>
      </c>
      <c r="W31" s="50">
        <v>4.327</v>
      </c>
      <c r="X31" s="51">
        <v>0.2707</v>
      </c>
      <c r="Y31" s="52">
        <v>-0.11269999999999999</v>
      </c>
      <c r="Z31" s="53">
        <v>-8.3700000000000007E-3</v>
      </c>
      <c r="AA31" s="54">
        <v>0</v>
      </c>
      <c r="AB31" s="54">
        <v>0</v>
      </c>
      <c r="AC31" s="54">
        <v>0</v>
      </c>
      <c r="AD31" s="54">
        <v>0</v>
      </c>
      <c r="AE31" s="54">
        <v>0</v>
      </c>
      <c r="AF31" s="39">
        <v>215</v>
      </c>
      <c r="AG31" s="39">
        <v>180.3</v>
      </c>
    </row>
    <row r="32" spans="1:33" x14ac:dyDescent="0.2">
      <c r="A32" s="37">
        <v>22</v>
      </c>
      <c r="B32" s="38">
        <v>4.8620000000000001</v>
      </c>
      <c r="C32" s="38">
        <v>5.4960000000000004</v>
      </c>
      <c r="D32" s="39">
        <v>5165</v>
      </c>
      <c r="E32" s="39">
        <v>568.5</v>
      </c>
      <c r="F32" s="40">
        <v>9.4739999999999998E-3</v>
      </c>
      <c r="G32" s="41">
        <v>1.1220000000000001E-2</v>
      </c>
      <c r="H32" s="39">
        <v>4443</v>
      </c>
      <c r="I32" s="42">
        <v>-8.3710000000000004</v>
      </c>
      <c r="J32" s="42">
        <v>3.2509999999999999</v>
      </c>
      <c r="K32" s="43">
        <v>-0.45129999999999998</v>
      </c>
      <c r="L32" s="40">
        <v>2.6939999999999999E-2</v>
      </c>
      <c r="M32" s="44">
        <v>-5.886E-4</v>
      </c>
      <c r="N32" s="45">
        <v>12580</v>
      </c>
      <c r="O32" s="46">
        <v>47.88</v>
      </c>
      <c r="P32" s="47">
        <v>4.5190000000000001</v>
      </c>
      <c r="Q32" s="37"/>
      <c r="R32" s="49">
        <v>4.71</v>
      </c>
      <c r="S32" s="49">
        <v>0.50870000000000004</v>
      </c>
      <c r="T32" s="49">
        <v>65.28</v>
      </c>
      <c r="U32" s="49">
        <v>8.8059999999999992</v>
      </c>
      <c r="V32" s="49">
        <v>5.9480000000000004</v>
      </c>
      <c r="W32" s="50">
        <v>4.34</v>
      </c>
      <c r="X32" s="51">
        <v>0.26179999999999998</v>
      </c>
      <c r="Y32" s="52">
        <v>-0.1138</v>
      </c>
      <c r="Z32" s="53">
        <v>-8.4200000000000004E-3</v>
      </c>
      <c r="AA32" s="54">
        <v>0</v>
      </c>
      <c r="AB32" s="54">
        <v>0</v>
      </c>
      <c r="AC32" s="54">
        <v>0</v>
      </c>
      <c r="AD32" s="54">
        <v>0</v>
      </c>
      <c r="AE32" s="54">
        <v>0</v>
      </c>
      <c r="AF32" s="39">
        <v>228</v>
      </c>
      <c r="AG32" s="39">
        <v>190.8</v>
      </c>
    </row>
    <row r="33" spans="1:33" x14ac:dyDescent="0.2">
      <c r="A33" s="37">
        <v>23</v>
      </c>
      <c r="B33" s="38">
        <v>4.4800000000000004</v>
      </c>
      <c r="C33" s="38">
        <v>5.0549999999999997</v>
      </c>
      <c r="D33" s="39">
        <v>5391</v>
      </c>
      <c r="E33" s="39">
        <v>952.3</v>
      </c>
      <c r="F33" s="40">
        <v>9.1170000000000001E-3</v>
      </c>
      <c r="G33" s="41">
        <v>1.1730000000000001E-2</v>
      </c>
      <c r="H33" s="39">
        <v>4276</v>
      </c>
      <c r="I33" s="42">
        <v>-8.7309999999999999</v>
      </c>
      <c r="J33" s="42">
        <v>3.379</v>
      </c>
      <c r="K33" s="43">
        <v>-0.46760000000000002</v>
      </c>
      <c r="L33" s="40">
        <v>2.7830000000000001E-2</v>
      </c>
      <c r="M33" s="44">
        <v>-6.0639999999999999E-4</v>
      </c>
      <c r="N33" s="45">
        <v>11830</v>
      </c>
      <c r="O33" s="46">
        <v>50.942</v>
      </c>
      <c r="P33" s="47">
        <v>6.101</v>
      </c>
      <c r="Q33" s="37"/>
      <c r="R33" s="49">
        <v>6.1509999999999998</v>
      </c>
      <c r="S33" s="49">
        <v>0.45240000000000002</v>
      </c>
      <c r="T33" s="49">
        <v>83</v>
      </c>
      <c r="U33" s="49">
        <v>18.309999999999999</v>
      </c>
      <c r="V33" s="49">
        <v>2.71</v>
      </c>
      <c r="W33" s="50">
        <v>4.3609999999999998</v>
      </c>
      <c r="X33" s="51">
        <v>0.25590000000000002</v>
      </c>
      <c r="Y33" s="52">
        <v>-0.1145</v>
      </c>
      <c r="Z33" s="53">
        <v>-8.4469999999999996E-3</v>
      </c>
      <c r="AA33" s="54">
        <v>0</v>
      </c>
      <c r="AB33" s="54">
        <v>0</v>
      </c>
      <c r="AC33" s="54">
        <v>0</v>
      </c>
      <c r="AD33" s="54">
        <v>0</v>
      </c>
      <c r="AE33" s="54">
        <v>0</v>
      </c>
      <c r="AF33" s="39">
        <v>237</v>
      </c>
      <c r="AG33" s="39">
        <v>203.8</v>
      </c>
    </row>
    <row r="34" spans="1:33" x14ac:dyDescent="0.2">
      <c r="A34" s="37">
        <v>24</v>
      </c>
      <c r="B34" s="38">
        <v>3.9830000000000001</v>
      </c>
      <c r="C34" s="38">
        <v>4.4889999999999999</v>
      </c>
      <c r="D34" s="39">
        <v>5616</v>
      </c>
      <c r="E34" s="39">
        <v>1336</v>
      </c>
      <c r="F34" s="40">
        <v>8.4130000000000003E-3</v>
      </c>
      <c r="G34" s="41">
        <v>1.2239999999999999E-2</v>
      </c>
      <c r="H34" s="39">
        <v>3946</v>
      </c>
      <c r="I34" s="42">
        <v>-9.09</v>
      </c>
      <c r="J34" s="42">
        <v>3.5070000000000001</v>
      </c>
      <c r="K34" s="43">
        <v>-0.48380000000000001</v>
      </c>
      <c r="L34" s="40">
        <v>2.8719999999999999E-2</v>
      </c>
      <c r="M34" s="44">
        <v>-6.2430000000000005E-4</v>
      </c>
      <c r="N34" s="45">
        <v>11590</v>
      </c>
      <c r="O34" s="46">
        <v>51.996000000000002</v>
      </c>
      <c r="P34" s="47">
        <v>7.1920000000000002</v>
      </c>
      <c r="Q34" s="37"/>
      <c r="R34" s="49">
        <v>6.57</v>
      </c>
      <c r="S34" s="49">
        <v>0.43219999999999997</v>
      </c>
      <c r="T34" s="49">
        <v>84.76</v>
      </c>
      <c r="U34" s="49">
        <v>15.53</v>
      </c>
      <c r="V34" s="49">
        <v>2.7789999999999999</v>
      </c>
      <c r="W34" s="50">
        <v>4.3490000000000002</v>
      </c>
      <c r="X34" s="51">
        <v>0.24</v>
      </c>
      <c r="Y34" s="52">
        <v>-0.1166</v>
      </c>
      <c r="Z34" s="53">
        <v>-8.5500000000000003E-3</v>
      </c>
      <c r="AA34" s="54">
        <v>0</v>
      </c>
      <c r="AB34" s="54">
        <v>0</v>
      </c>
      <c r="AC34" s="54">
        <v>0</v>
      </c>
      <c r="AD34" s="54">
        <v>0</v>
      </c>
      <c r="AE34" s="54">
        <v>0</v>
      </c>
      <c r="AF34" s="39">
        <v>257</v>
      </c>
      <c r="AG34" s="39">
        <v>225.8</v>
      </c>
    </row>
    <row r="35" spans="1:33" x14ac:dyDescent="0.2">
      <c r="A35" s="37">
        <v>25</v>
      </c>
      <c r="B35" s="38">
        <v>3.4689999999999999</v>
      </c>
      <c r="C35" s="38">
        <v>3.907</v>
      </c>
      <c r="D35" s="39">
        <v>5725</v>
      </c>
      <c r="E35" s="39">
        <v>1461</v>
      </c>
      <c r="F35" s="40">
        <v>8.829E-3</v>
      </c>
      <c r="G35" s="41">
        <v>1.2749999999999999E-2</v>
      </c>
      <c r="H35" s="39">
        <v>3785</v>
      </c>
      <c r="I35" s="42">
        <v>-9.4489999999999998</v>
      </c>
      <c r="J35" s="42">
        <v>3.6349999999999998</v>
      </c>
      <c r="K35" s="43">
        <v>-0.50009999999999999</v>
      </c>
      <c r="L35" s="40">
        <v>2.9610000000000001E-2</v>
      </c>
      <c r="M35" s="44">
        <v>-6.4210000000000005E-4</v>
      </c>
      <c r="N35" s="45">
        <v>10970</v>
      </c>
      <c r="O35" s="46">
        <v>54.938000000000002</v>
      </c>
      <c r="P35" s="47">
        <v>7.4340000000000002</v>
      </c>
      <c r="Q35" s="37"/>
      <c r="R35" s="49">
        <v>5.7380000000000004</v>
      </c>
      <c r="S35" s="49">
        <v>0.44919999999999999</v>
      </c>
      <c r="T35" s="49">
        <v>84.61</v>
      </c>
      <c r="U35" s="49">
        <v>14.18</v>
      </c>
      <c r="V35" s="49">
        <v>3.101</v>
      </c>
      <c r="W35" s="50">
        <v>4.3620000000000001</v>
      </c>
      <c r="X35" s="51">
        <v>0.23269999999999999</v>
      </c>
      <c r="Y35" s="52">
        <v>-0.1174</v>
      </c>
      <c r="Z35" s="53">
        <v>-8.5880000000000001E-3</v>
      </c>
      <c r="AA35" s="54">
        <v>0</v>
      </c>
      <c r="AB35" s="54">
        <v>0</v>
      </c>
      <c r="AC35" s="54">
        <v>0</v>
      </c>
      <c r="AD35" s="54">
        <v>0</v>
      </c>
      <c r="AE35" s="54">
        <v>0</v>
      </c>
      <c r="AF35" s="39">
        <v>275</v>
      </c>
      <c r="AG35" s="39">
        <v>231</v>
      </c>
    </row>
    <row r="36" spans="1:33" x14ac:dyDescent="0.2">
      <c r="A36" s="37">
        <v>26</v>
      </c>
      <c r="B36" s="38">
        <v>3.5190000000000001</v>
      </c>
      <c r="C36" s="38">
        <v>3.9630000000000001</v>
      </c>
      <c r="D36" s="39">
        <v>6065</v>
      </c>
      <c r="E36" s="39">
        <v>1243</v>
      </c>
      <c r="F36" s="40">
        <v>7.7819999999999999E-3</v>
      </c>
      <c r="G36" s="41">
        <v>1.3259999999999999E-2</v>
      </c>
      <c r="H36" s="39">
        <v>3650</v>
      </c>
      <c r="I36" s="42">
        <v>-9.8089999999999993</v>
      </c>
      <c r="J36" s="42">
        <v>3.7629999999999999</v>
      </c>
      <c r="K36" s="43">
        <v>-0.51639999999999997</v>
      </c>
      <c r="L36" s="40">
        <v>3.0499999999999999E-2</v>
      </c>
      <c r="M36" s="44">
        <v>-6.6E-4</v>
      </c>
      <c r="N36" s="45">
        <v>10790</v>
      </c>
      <c r="O36" s="46">
        <v>55.847000000000001</v>
      </c>
      <c r="P36" s="47">
        <v>7.8659999999999997</v>
      </c>
      <c r="Q36" s="37"/>
      <c r="R36" s="49">
        <v>5.0129999999999999</v>
      </c>
      <c r="S36" s="49">
        <v>0.47070000000000001</v>
      </c>
      <c r="T36" s="49">
        <v>85.58</v>
      </c>
      <c r="U36" s="49">
        <v>16.55</v>
      </c>
      <c r="V36" s="49">
        <v>3.2109999999999999</v>
      </c>
      <c r="W36" s="50">
        <v>4.375</v>
      </c>
      <c r="X36" s="51">
        <v>0.2253</v>
      </c>
      <c r="Y36" s="52">
        <v>-0.11849999999999999</v>
      </c>
      <c r="Z36" s="53">
        <v>-8.6479999999999994E-3</v>
      </c>
      <c r="AA36" s="54">
        <v>0</v>
      </c>
      <c r="AB36" s="54">
        <v>0</v>
      </c>
      <c r="AC36" s="54">
        <v>0</v>
      </c>
      <c r="AD36" s="54">
        <v>0</v>
      </c>
      <c r="AE36" s="54">
        <v>0</v>
      </c>
      <c r="AF36" s="39">
        <v>284</v>
      </c>
      <c r="AG36" s="39">
        <v>245.4</v>
      </c>
    </row>
    <row r="37" spans="1:33" x14ac:dyDescent="0.2">
      <c r="A37" s="37">
        <v>27</v>
      </c>
      <c r="B37" s="38">
        <v>3.14</v>
      </c>
      <c r="C37" s="38">
        <v>3.5350000000000001</v>
      </c>
      <c r="D37" s="39">
        <v>6288</v>
      </c>
      <c r="E37" s="39">
        <v>1372</v>
      </c>
      <c r="F37" s="40">
        <v>7.3610000000000004E-3</v>
      </c>
      <c r="G37" s="41">
        <v>1.3769999999999999E-2</v>
      </c>
      <c r="H37" s="39">
        <v>3453</v>
      </c>
      <c r="I37" s="42">
        <v>-10.17</v>
      </c>
      <c r="J37" s="42">
        <v>3.891</v>
      </c>
      <c r="K37" s="43">
        <v>-0.53269999999999995</v>
      </c>
      <c r="L37" s="40">
        <v>3.1390000000000001E-2</v>
      </c>
      <c r="M37" s="44">
        <v>-6.7790000000000005E-4</v>
      </c>
      <c r="N37" s="45">
        <v>10220</v>
      </c>
      <c r="O37" s="46">
        <v>58.933</v>
      </c>
      <c r="P37" s="47">
        <v>8.7959999999999994</v>
      </c>
      <c r="Q37" s="37"/>
      <c r="R37" s="49">
        <v>4.32</v>
      </c>
      <c r="S37" s="49">
        <v>0.49469999999999997</v>
      </c>
      <c r="T37" s="49">
        <v>76.14</v>
      </c>
      <c r="U37" s="49">
        <v>10.85</v>
      </c>
      <c r="V37" s="49">
        <v>5.4409999999999998</v>
      </c>
      <c r="W37" s="50">
        <v>4.3620000000000001</v>
      </c>
      <c r="X37" s="51">
        <v>0.2069</v>
      </c>
      <c r="Y37" s="52">
        <v>-0.12139999999999999</v>
      </c>
      <c r="Z37" s="53">
        <v>-8.8149999999999999E-3</v>
      </c>
      <c r="AA37" s="54">
        <v>0</v>
      </c>
      <c r="AB37" s="54">
        <v>0</v>
      </c>
      <c r="AC37" s="54">
        <v>0</v>
      </c>
      <c r="AD37" s="54">
        <v>0</v>
      </c>
      <c r="AE37" s="54">
        <v>0</v>
      </c>
      <c r="AF37" s="39">
        <v>304</v>
      </c>
      <c r="AG37" s="39">
        <v>260.60000000000002</v>
      </c>
    </row>
    <row r="38" spans="1:33" x14ac:dyDescent="0.2">
      <c r="A38" s="37">
        <v>28</v>
      </c>
      <c r="B38" s="38">
        <v>3.5529999999999999</v>
      </c>
      <c r="C38" s="38">
        <v>4.0039999999999996</v>
      </c>
      <c r="D38" s="39">
        <v>6205</v>
      </c>
      <c r="E38" s="39">
        <v>555.1</v>
      </c>
      <c r="F38" s="40">
        <v>8.763E-3</v>
      </c>
      <c r="G38" s="41">
        <v>1.4279999999999999E-2</v>
      </c>
      <c r="H38" s="39">
        <v>3297</v>
      </c>
      <c r="I38" s="42">
        <v>-10.53</v>
      </c>
      <c r="J38" s="42">
        <v>4.0190000000000001</v>
      </c>
      <c r="K38" s="43">
        <v>-0.54900000000000004</v>
      </c>
      <c r="L38" s="40">
        <v>3.2289999999999999E-2</v>
      </c>
      <c r="M38" s="44">
        <v>-6.9570000000000005E-4</v>
      </c>
      <c r="N38" s="45">
        <v>10260</v>
      </c>
      <c r="O38" s="46">
        <v>58.69</v>
      </c>
      <c r="P38" s="47">
        <v>8.8949999999999996</v>
      </c>
      <c r="Q38" s="37"/>
      <c r="R38" s="49">
        <v>4.6520000000000001</v>
      </c>
      <c r="S38" s="49">
        <v>0.45710000000000001</v>
      </c>
      <c r="T38" s="49">
        <v>80.73</v>
      </c>
      <c r="U38" s="49">
        <v>22</v>
      </c>
      <c r="V38" s="49">
        <v>4.952</v>
      </c>
      <c r="W38" s="50">
        <v>4.3460000000000001</v>
      </c>
      <c r="X38" s="51">
        <v>0.1857</v>
      </c>
      <c r="Y38" s="52">
        <v>-0.1249</v>
      </c>
      <c r="Z38" s="53">
        <v>-9.0209999999999995E-3</v>
      </c>
      <c r="AA38" s="54">
        <v>0</v>
      </c>
      <c r="AB38" s="54">
        <v>0</v>
      </c>
      <c r="AC38" s="54">
        <v>0</v>
      </c>
      <c r="AD38" s="54">
        <v>0</v>
      </c>
      <c r="AE38" s="54">
        <v>0</v>
      </c>
      <c r="AF38" s="39">
        <v>314</v>
      </c>
      <c r="AG38" s="39">
        <v>276.10000000000002</v>
      </c>
    </row>
    <row r="39" spans="1:33" x14ac:dyDescent="0.2">
      <c r="A39" s="37">
        <v>29</v>
      </c>
      <c r="B39" s="38">
        <v>3.6960000000000002</v>
      </c>
      <c r="C39" s="38">
        <v>4.1749999999999998</v>
      </c>
      <c r="D39" s="39">
        <v>4673</v>
      </c>
      <c r="E39" s="39">
        <v>387.8</v>
      </c>
      <c r="F39" s="40">
        <v>2.188E-2</v>
      </c>
      <c r="G39" s="41">
        <v>1.4789999999999999E-2</v>
      </c>
      <c r="H39" s="39">
        <v>3174</v>
      </c>
      <c r="I39" s="42">
        <v>-11.18</v>
      </c>
      <c r="J39" s="42">
        <v>4.2519999999999998</v>
      </c>
      <c r="K39" s="43">
        <v>-0.57909999999999995</v>
      </c>
      <c r="L39" s="40">
        <v>3.3989999999999999E-2</v>
      </c>
      <c r="M39" s="44">
        <v>-7.314E-4</v>
      </c>
      <c r="N39" s="45">
        <v>9482</v>
      </c>
      <c r="O39" s="46">
        <v>63.545999999999999</v>
      </c>
      <c r="P39" s="47">
        <v>8.9489999999999998</v>
      </c>
      <c r="Q39" s="37"/>
      <c r="R39" s="49">
        <v>3.1139999999999999</v>
      </c>
      <c r="S39" s="49">
        <v>0.52359999999999995</v>
      </c>
      <c r="T39" s="49">
        <v>76.67</v>
      </c>
      <c r="U39" s="49">
        <v>7.62</v>
      </c>
      <c r="V39" s="49">
        <v>6.3849999999999998</v>
      </c>
      <c r="W39" s="50">
        <v>4.3550000000000004</v>
      </c>
      <c r="X39" s="51">
        <v>0.18</v>
      </c>
      <c r="Y39" s="52">
        <v>-0.1255</v>
      </c>
      <c r="Z39" s="53">
        <v>-9.0449999999999992E-3</v>
      </c>
      <c r="AA39" s="54">
        <v>0</v>
      </c>
      <c r="AB39" s="54">
        <v>0</v>
      </c>
      <c r="AC39" s="54">
        <v>0</v>
      </c>
      <c r="AD39" s="54">
        <v>0</v>
      </c>
      <c r="AE39" s="54">
        <v>0</v>
      </c>
      <c r="AF39" s="39">
        <v>330</v>
      </c>
      <c r="AG39" s="39">
        <v>303.39999999999998</v>
      </c>
    </row>
    <row r="40" spans="1:33" x14ac:dyDescent="0.2">
      <c r="A40" s="37">
        <v>30</v>
      </c>
      <c r="B40" s="38">
        <v>4.21</v>
      </c>
      <c r="C40" s="38">
        <v>4.75</v>
      </c>
      <c r="D40" s="39">
        <v>6953</v>
      </c>
      <c r="E40" s="39">
        <v>295.2</v>
      </c>
      <c r="F40" s="40">
        <v>6.8089999999999999E-3</v>
      </c>
      <c r="G40" s="41">
        <v>1.5299999999999999E-2</v>
      </c>
      <c r="H40" s="39">
        <v>3194</v>
      </c>
      <c r="I40" s="42">
        <v>-11.57</v>
      </c>
      <c r="J40" s="42">
        <v>4.3940000000000001</v>
      </c>
      <c r="K40" s="43">
        <v>-0.59799999999999998</v>
      </c>
      <c r="L40" s="40">
        <v>3.5060000000000001E-2</v>
      </c>
      <c r="M40" s="44">
        <v>-7.5370000000000005E-4</v>
      </c>
      <c r="N40" s="45">
        <v>9217</v>
      </c>
      <c r="O40" s="46">
        <v>65.38</v>
      </c>
      <c r="P40" s="47">
        <v>7.1050000000000004</v>
      </c>
      <c r="Q40" s="37"/>
      <c r="R40" s="49">
        <v>3.1139999999999999</v>
      </c>
      <c r="S40" s="49">
        <v>0.52359999999999995</v>
      </c>
      <c r="T40" s="49">
        <v>76.67</v>
      </c>
      <c r="U40" s="49">
        <v>7.62</v>
      </c>
      <c r="V40" s="49">
        <v>7.5019999999999998</v>
      </c>
      <c r="W40" s="50">
        <v>4.3890000000000002</v>
      </c>
      <c r="X40" s="51">
        <v>0.18060000000000001</v>
      </c>
      <c r="Y40" s="52">
        <v>-0.12529999999999999</v>
      </c>
      <c r="Z40" s="53">
        <v>-9.0279999999999996E-3</v>
      </c>
      <c r="AA40" s="54">
        <v>0</v>
      </c>
      <c r="AB40" s="54">
        <v>0</v>
      </c>
      <c r="AC40" s="54">
        <v>0</v>
      </c>
      <c r="AD40" s="54">
        <v>0</v>
      </c>
      <c r="AE40" s="54">
        <v>0</v>
      </c>
      <c r="AF40" s="39">
        <v>323</v>
      </c>
      <c r="AG40" s="39">
        <v>310.10000000000002</v>
      </c>
    </row>
    <row r="41" spans="1:33" x14ac:dyDescent="0.2">
      <c r="A41" s="37">
        <v>31</v>
      </c>
      <c r="B41" s="38">
        <v>5.0410000000000004</v>
      </c>
      <c r="C41" s="38">
        <v>5.6970000000000001</v>
      </c>
      <c r="D41" s="39">
        <v>7173</v>
      </c>
      <c r="E41" s="39">
        <v>202.6</v>
      </c>
      <c r="F41" s="40">
        <v>6.7250000000000001E-3</v>
      </c>
      <c r="G41" s="41">
        <v>1.5810000000000001E-2</v>
      </c>
      <c r="H41" s="39">
        <v>3154</v>
      </c>
      <c r="I41" s="42">
        <v>-11.95</v>
      </c>
      <c r="J41" s="42">
        <v>4.5369999999999999</v>
      </c>
      <c r="K41" s="43">
        <v>-0.6169</v>
      </c>
      <c r="L41" s="40">
        <v>3.6130000000000002E-2</v>
      </c>
      <c r="M41" s="44">
        <v>-7.7590000000000005E-4</v>
      </c>
      <c r="N41" s="45">
        <v>8642</v>
      </c>
      <c r="O41" s="46">
        <v>69.72</v>
      </c>
      <c r="P41" s="47">
        <v>5.9080000000000004</v>
      </c>
      <c r="Q41" s="37"/>
      <c r="R41" s="49">
        <v>3.1139999999999999</v>
      </c>
      <c r="S41" s="49">
        <v>0.52359999999999995</v>
      </c>
      <c r="T41" s="49">
        <v>76.67</v>
      </c>
      <c r="U41" s="49">
        <v>7.62</v>
      </c>
      <c r="V41" s="49">
        <v>8.5139999999999993</v>
      </c>
      <c r="W41" s="50">
        <v>4.407</v>
      </c>
      <c r="X41" s="51">
        <v>0.1759</v>
      </c>
      <c r="Y41" s="52">
        <v>-0.1258</v>
      </c>
      <c r="Z41" s="53">
        <v>-9.0539999999999995E-3</v>
      </c>
      <c r="AA41" s="54">
        <v>0</v>
      </c>
      <c r="AB41" s="54">
        <v>0</v>
      </c>
      <c r="AC41" s="54">
        <v>0</v>
      </c>
      <c r="AD41" s="54">
        <v>0</v>
      </c>
      <c r="AE41" s="54">
        <v>0</v>
      </c>
      <c r="AF41" s="39">
        <v>335.4</v>
      </c>
      <c r="AG41" s="39">
        <v>310.89999999999998</v>
      </c>
    </row>
    <row r="42" spans="1:33" x14ac:dyDescent="0.2">
      <c r="A42" s="37">
        <v>32</v>
      </c>
      <c r="B42" s="38">
        <v>5.5540000000000003</v>
      </c>
      <c r="C42" s="38">
        <v>6.3</v>
      </c>
      <c r="D42" s="39">
        <v>6496</v>
      </c>
      <c r="E42" s="39">
        <v>110</v>
      </c>
      <c r="F42" s="40">
        <v>9.6889999999999997E-3</v>
      </c>
      <c r="G42" s="41">
        <v>1.6320000000000001E-2</v>
      </c>
      <c r="H42" s="39">
        <v>3097</v>
      </c>
      <c r="I42" s="42">
        <v>-12.34</v>
      </c>
      <c r="J42" s="42">
        <v>4.68</v>
      </c>
      <c r="K42" s="43">
        <v>-0.63580000000000003</v>
      </c>
      <c r="L42" s="40">
        <v>3.721E-2</v>
      </c>
      <c r="M42" s="44">
        <v>-7.9810000000000005E-4</v>
      </c>
      <c r="N42" s="45">
        <v>8300</v>
      </c>
      <c r="O42" s="46">
        <v>72.59</v>
      </c>
      <c r="P42" s="47">
        <v>5.3380000000000001</v>
      </c>
      <c r="Q42" s="37"/>
      <c r="R42" s="49">
        <v>5.7460000000000004</v>
      </c>
      <c r="S42" s="49">
        <v>0.4662</v>
      </c>
      <c r="T42" s="49">
        <v>79.239999999999995</v>
      </c>
      <c r="U42" s="49">
        <v>1.1850000000000001</v>
      </c>
      <c r="V42" s="49">
        <v>7.9930000000000003</v>
      </c>
      <c r="W42" s="50">
        <v>4.4189999999999996</v>
      </c>
      <c r="X42" s="51">
        <v>0.1694</v>
      </c>
      <c r="Y42" s="52">
        <v>-0.12670000000000001</v>
      </c>
      <c r="Z42" s="53">
        <v>-9.0939999999999997E-3</v>
      </c>
      <c r="AA42" s="54">
        <v>0</v>
      </c>
      <c r="AB42" s="54">
        <v>0</v>
      </c>
      <c r="AC42" s="54">
        <v>0</v>
      </c>
      <c r="AD42" s="54">
        <v>0</v>
      </c>
      <c r="AE42" s="54">
        <v>0</v>
      </c>
      <c r="AF42" s="39">
        <v>323</v>
      </c>
      <c r="AG42" s="39">
        <v>316.2</v>
      </c>
    </row>
    <row r="43" spans="1:33" x14ac:dyDescent="0.2">
      <c r="A43" s="37">
        <v>33</v>
      </c>
      <c r="B43" s="38">
        <v>5.3230000000000004</v>
      </c>
      <c r="C43" s="38">
        <v>6.0119999999999996</v>
      </c>
      <c r="D43" s="39">
        <v>7611</v>
      </c>
      <c r="E43" s="39">
        <v>292.5</v>
      </c>
      <c r="F43" s="40">
        <v>6.4469999999999996E-3</v>
      </c>
      <c r="G43" s="41">
        <v>1.6830000000000001E-2</v>
      </c>
      <c r="H43" s="39">
        <v>3024</v>
      </c>
      <c r="I43" s="42">
        <v>-12.72</v>
      </c>
      <c r="J43" s="42">
        <v>4.8230000000000004</v>
      </c>
      <c r="K43" s="43">
        <v>-0.65469999999999995</v>
      </c>
      <c r="L43" s="40">
        <v>3.8280000000000002E-2</v>
      </c>
      <c r="M43" s="44">
        <v>-8.2030000000000004E-4</v>
      </c>
      <c r="N43" s="45">
        <v>8042</v>
      </c>
      <c r="O43" s="46">
        <v>74.921999999999997</v>
      </c>
      <c r="P43" s="47">
        <v>5.7190000000000003</v>
      </c>
      <c r="Q43" s="37"/>
      <c r="R43" s="49">
        <v>2.7919999999999998</v>
      </c>
      <c r="S43" s="49">
        <v>0.63460000000000005</v>
      </c>
      <c r="T43" s="49">
        <v>106.1</v>
      </c>
      <c r="U43" s="49">
        <v>0.29859999999999998</v>
      </c>
      <c r="V43" s="49">
        <v>2.331</v>
      </c>
      <c r="W43" s="50">
        <v>4.4119999999999999</v>
      </c>
      <c r="X43" s="51">
        <v>0.1545</v>
      </c>
      <c r="Y43" s="52">
        <v>-0.12889999999999999</v>
      </c>
      <c r="Z43" s="53">
        <v>-9.2020000000000001E-3</v>
      </c>
      <c r="AA43" s="54">
        <v>0</v>
      </c>
      <c r="AB43" s="54">
        <v>0</v>
      </c>
      <c r="AC43" s="54">
        <v>0</v>
      </c>
      <c r="AD43" s="54">
        <v>0</v>
      </c>
      <c r="AE43" s="54">
        <v>0</v>
      </c>
      <c r="AF43" s="39">
        <v>354.7</v>
      </c>
      <c r="AG43" s="39">
        <v>323.39999999999998</v>
      </c>
    </row>
    <row r="44" spans="1:33" x14ac:dyDescent="0.2">
      <c r="A44" s="37">
        <v>34</v>
      </c>
      <c r="B44" s="38">
        <v>5.8470000000000004</v>
      </c>
      <c r="C44" s="38">
        <v>6.6559999999999997</v>
      </c>
      <c r="D44" s="39">
        <v>7395</v>
      </c>
      <c r="E44" s="39">
        <v>117.5</v>
      </c>
      <c r="F44" s="40">
        <v>7.6839999999999999E-3</v>
      </c>
      <c r="G44" s="41">
        <v>1.7340000000000001E-2</v>
      </c>
      <c r="H44" s="39">
        <v>3006</v>
      </c>
      <c r="I44" s="42">
        <v>-13.11</v>
      </c>
      <c r="J44" s="42">
        <v>4.9649999999999999</v>
      </c>
      <c r="K44" s="43">
        <v>-0.67349999999999999</v>
      </c>
      <c r="L44" s="40">
        <v>3.9350000000000003E-2</v>
      </c>
      <c r="M44" s="44">
        <v>-8.4250000000000004E-4</v>
      </c>
      <c r="N44" s="45">
        <v>7630</v>
      </c>
      <c r="O44" s="46">
        <v>78.959999999999994</v>
      </c>
      <c r="P44" s="47">
        <v>4.7850000000000001</v>
      </c>
      <c r="Q44" s="37"/>
      <c r="R44" s="49">
        <v>4.6669999999999998</v>
      </c>
      <c r="S44" s="49">
        <v>0.50949999999999995</v>
      </c>
      <c r="T44" s="49">
        <v>124.3</v>
      </c>
      <c r="U44" s="49">
        <v>2.1019999999999999</v>
      </c>
      <c r="V44" s="49">
        <v>1.667</v>
      </c>
      <c r="W44" s="50">
        <v>4.4189999999999996</v>
      </c>
      <c r="X44" s="51">
        <v>0.14480000000000001</v>
      </c>
      <c r="Y44" s="52">
        <v>-0.1303</v>
      </c>
      <c r="Z44" s="53">
        <v>-9.2689999999999995E-3</v>
      </c>
      <c r="AA44" s="54">
        <v>0</v>
      </c>
      <c r="AB44" s="54">
        <v>0</v>
      </c>
      <c r="AC44" s="54">
        <v>0</v>
      </c>
      <c r="AD44" s="54">
        <v>0</v>
      </c>
      <c r="AE44" s="54">
        <v>0</v>
      </c>
      <c r="AF44" s="39">
        <v>343.4</v>
      </c>
      <c r="AG44" s="39">
        <v>331.4</v>
      </c>
    </row>
    <row r="45" spans="1:33" x14ac:dyDescent="0.2">
      <c r="A45" s="37">
        <v>35</v>
      </c>
      <c r="B45" s="38">
        <v>5.6109999999999998</v>
      </c>
      <c r="C45" s="38">
        <v>6.335</v>
      </c>
      <c r="D45" s="39">
        <v>8046</v>
      </c>
      <c r="E45" s="39">
        <v>365.2</v>
      </c>
      <c r="F45" s="40">
        <v>6.2440000000000004E-3</v>
      </c>
      <c r="G45" s="41">
        <v>1.7850000000000001E-2</v>
      </c>
      <c r="H45" s="39">
        <v>2928</v>
      </c>
      <c r="I45" s="42">
        <v>-13.4</v>
      </c>
      <c r="J45" s="42">
        <v>5.0830000000000002</v>
      </c>
      <c r="K45" s="43">
        <v>-0.69059999999999999</v>
      </c>
      <c r="L45" s="40">
        <v>4.0419999999999998E-2</v>
      </c>
      <c r="M45" s="44">
        <v>-8.675E-4</v>
      </c>
      <c r="N45" s="45">
        <v>7540</v>
      </c>
      <c r="O45" s="46">
        <v>79.903999999999996</v>
      </c>
      <c r="P45" s="47">
        <v>3.4</v>
      </c>
      <c r="Q45" s="37"/>
      <c r="R45" s="49">
        <v>2.44</v>
      </c>
      <c r="S45" s="49">
        <v>0.63460000000000005</v>
      </c>
      <c r="T45" s="49">
        <v>105</v>
      </c>
      <c r="U45" s="49">
        <v>0.83</v>
      </c>
      <c r="V45" s="49">
        <v>2.851</v>
      </c>
      <c r="W45" s="50">
        <v>4.4359999999999999</v>
      </c>
      <c r="X45" s="51">
        <v>0.14430000000000001</v>
      </c>
      <c r="Y45" s="52">
        <v>-0.12989999999999999</v>
      </c>
      <c r="Z45" s="53">
        <v>-9.2289999999999994E-3</v>
      </c>
      <c r="AA45" s="54">
        <v>1.65</v>
      </c>
      <c r="AB45" s="54">
        <v>0.7</v>
      </c>
      <c r="AC45" s="54">
        <v>148.1</v>
      </c>
      <c r="AD45" s="54">
        <v>1.47</v>
      </c>
      <c r="AE45" s="54">
        <v>0.96860000000000002</v>
      </c>
      <c r="AF45" s="39">
        <v>358.3</v>
      </c>
      <c r="AG45" s="39">
        <v>339.3</v>
      </c>
    </row>
    <row r="46" spans="1:33" x14ac:dyDescent="0.2">
      <c r="A46" s="37">
        <v>36</v>
      </c>
      <c r="B46" s="38">
        <v>6.4109999999999996</v>
      </c>
      <c r="C46" s="38">
        <v>7.25</v>
      </c>
      <c r="D46" s="39">
        <v>8262</v>
      </c>
      <c r="E46" s="39">
        <v>220</v>
      </c>
      <c r="F46" s="40">
        <v>6.0870000000000004E-3</v>
      </c>
      <c r="G46" s="41">
        <v>1.8360000000000001E-2</v>
      </c>
      <c r="H46" s="39">
        <v>2855</v>
      </c>
      <c r="I46" s="42">
        <v>-13.69</v>
      </c>
      <c r="J46" s="42">
        <v>5.2</v>
      </c>
      <c r="K46" s="43">
        <v>-0.70760000000000001</v>
      </c>
      <c r="L46" s="40">
        <v>4.1500000000000002E-2</v>
      </c>
      <c r="M46" s="44">
        <v>-8.9249999999999996E-4</v>
      </c>
      <c r="N46" s="45">
        <v>7190</v>
      </c>
      <c r="O46" s="46">
        <v>83.8</v>
      </c>
      <c r="P46" s="47">
        <v>3.741E-3</v>
      </c>
      <c r="Q46" s="37"/>
      <c r="R46" s="49">
        <v>1.4910000000000001</v>
      </c>
      <c r="S46" s="49">
        <v>0.71179999999999999</v>
      </c>
      <c r="T46" s="49">
        <v>120.6</v>
      </c>
      <c r="U46" s="49">
        <v>1.101</v>
      </c>
      <c r="V46" s="49">
        <v>1.877</v>
      </c>
      <c r="W46" s="50">
        <v>4.4779999999999998</v>
      </c>
      <c r="X46" s="51">
        <v>0.1608</v>
      </c>
      <c r="Y46" s="52">
        <v>-0.12620000000000001</v>
      </c>
      <c r="Z46" s="53">
        <v>-8.9829999999999997E-3</v>
      </c>
      <c r="AA46" s="54">
        <v>1.413</v>
      </c>
      <c r="AB46" s="54">
        <v>0.73770000000000002</v>
      </c>
      <c r="AC46" s="54">
        <v>147.9</v>
      </c>
      <c r="AD46" s="54">
        <v>1.466</v>
      </c>
      <c r="AE46" s="54">
        <v>1.016</v>
      </c>
      <c r="AF46" s="39">
        <v>367.9</v>
      </c>
      <c r="AG46" s="39">
        <v>347</v>
      </c>
    </row>
    <row r="47" spans="1:33" x14ac:dyDescent="0.2">
      <c r="A47" s="37">
        <v>37</v>
      </c>
      <c r="B47" s="38">
        <v>5.694</v>
      </c>
      <c r="C47" s="38">
        <v>6.4290000000000003</v>
      </c>
      <c r="D47" s="39">
        <v>8478</v>
      </c>
      <c r="E47" s="39">
        <v>292.89999999999998</v>
      </c>
      <c r="F47" s="40">
        <v>6.0870000000000004E-3</v>
      </c>
      <c r="G47" s="41">
        <v>1.8859999999999998E-2</v>
      </c>
      <c r="H47" s="39">
        <v>2855</v>
      </c>
      <c r="I47" s="42">
        <v>-13.92</v>
      </c>
      <c r="J47" s="42">
        <v>5.266</v>
      </c>
      <c r="K47" s="43">
        <v>-0.71399999999999997</v>
      </c>
      <c r="L47" s="40">
        <v>4.1730000000000003E-2</v>
      </c>
      <c r="M47" s="44">
        <v>-8.943E-4</v>
      </c>
      <c r="N47" s="45">
        <v>7049</v>
      </c>
      <c r="O47" s="46">
        <v>85.468000000000004</v>
      </c>
      <c r="P47" s="47">
        <v>1.5289999999999999</v>
      </c>
      <c r="Q47" s="37"/>
      <c r="R47" s="49">
        <v>11.72</v>
      </c>
      <c r="S47" s="49">
        <v>0.3826</v>
      </c>
      <c r="T47" s="49">
        <v>102.8</v>
      </c>
      <c r="U47" s="49">
        <v>9.2309999999999999</v>
      </c>
      <c r="V47" s="49">
        <v>4.3710000000000004</v>
      </c>
      <c r="W47" s="50">
        <v>4.4889999999999999</v>
      </c>
      <c r="X47" s="51">
        <v>0.1517</v>
      </c>
      <c r="Y47" s="52">
        <v>-0.1278</v>
      </c>
      <c r="Z47" s="53">
        <v>-9.0779999999999993E-3</v>
      </c>
      <c r="AA47" s="54">
        <v>0</v>
      </c>
      <c r="AB47" s="54">
        <v>0</v>
      </c>
      <c r="AC47" s="54">
        <v>0</v>
      </c>
      <c r="AD47" s="54">
        <v>0</v>
      </c>
      <c r="AE47" s="54">
        <v>0</v>
      </c>
      <c r="AF47" s="39">
        <v>349.7</v>
      </c>
      <c r="AG47" s="39">
        <v>337.7</v>
      </c>
    </row>
    <row r="48" spans="1:33" x14ac:dyDescent="0.2">
      <c r="A48" s="37">
        <v>38</v>
      </c>
      <c r="B48" s="38">
        <v>6.3390000000000004</v>
      </c>
      <c r="C48" s="38">
        <v>7.1589999999999998</v>
      </c>
      <c r="D48" s="39">
        <v>8693</v>
      </c>
      <c r="E48" s="39">
        <v>330.3</v>
      </c>
      <c r="F48" s="40">
        <v>6.0029999999999997E-3</v>
      </c>
      <c r="G48" s="41">
        <v>1.9369999999999998E-2</v>
      </c>
      <c r="H48" s="39">
        <v>2815</v>
      </c>
      <c r="I48" s="42">
        <v>-14.14</v>
      </c>
      <c r="J48" s="42">
        <v>5.3310000000000004</v>
      </c>
      <c r="K48" s="43">
        <v>-0.72050000000000003</v>
      </c>
      <c r="L48" s="40">
        <v>4.1959999999999997E-2</v>
      </c>
      <c r="M48" s="44">
        <v>-8.9619999999999999E-4</v>
      </c>
      <c r="N48" s="45">
        <v>6876</v>
      </c>
      <c r="O48" s="46">
        <v>87.62</v>
      </c>
      <c r="P48" s="47">
        <v>2.6</v>
      </c>
      <c r="Q48" s="37"/>
      <c r="R48" s="49">
        <v>7.1260000000000003</v>
      </c>
      <c r="S48" s="49">
        <v>0.48039999999999999</v>
      </c>
      <c r="T48" s="49">
        <v>119.3</v>
      </c>
      <c r="U48" s="49">
        <v>5.7839999999999998</v>
      </c>
      <c r="V48" s="49">
        <v>2.4540000000000002</v>
      </c>
      <c r="W48" s="50">
        <v>4.5140000000000002</v>
      </c>
      <c r="X48" s="51">
        <v>0.15509999999999999</v>
      </c>
      <c r="Y48" s="52">
        <v>-0.1268</v>
      </c>
      <c r="Z48" s="53">
        <v>-9.0050000000000009E-3</v>
      </c>
      <c r="AA48" s="54">
        <v>0</v>
      </c>
      <c r="AB48" s="54">
        <v>0</v>
      </c>
      <c r="AC48" s="54">
        <v>0</v>
      </c>
      <c r="AD48" s="54">
        <v>0</v>
      </c>
      <c r="AE48" s="54">
        <v>0</v>
      </c>
      <c r="AF48" s="39">
        <v>353.3</v>
      </c>
      <c r="AG48" s="39">
        <v>334.5</v>
      </c>
    </row>
    <row r="49" spans="1:33" x14ac:dyDescent="0.2">
      <c r="A49" s="37">
        <v>39</v>
      </c>
      <c r="B49" s="38">
        <v>6.407</v>
      </c>
      <c r="C49" s="38">
        <v>7.234</v>
      </c>
      <c r="D49" s="39">
        <v>8907</v>
      </c>
      <c r="E49" s="39">
        <v>367.8</v>
      </c>
      <c r="F49" s="40">
        <v>5.8890000000000001E-3</v>
      </c>
      <c r="G49" s="41">
        <v>1.9879999999999998E-2</v>
      </c>
      <c r="H49" s="39">
        <v>2762</v>
      </c>
      <c r="I49" s="42">
        <v>-14.36</v>
      </c>
      <c r="J49" s="42">
        <v>5.3970000000000002</v>
      </c>
      <c r="K49" s="43">
        <v>-0.72689999999999999</v>
      </c>
      <c r="L49" s="40">
        <v>4.2189999999999998E-2</v>
      </c>
      <c r="M49" s="44">
        <v>-8.9800000000000004E-4</v>
      </c>
      <c r="N49" s="45">
        <v>6777</v>
      </c>
      <c r="O49" s="46">
        <v>88.906000000000006</v>
      </c>
      <c r="P49" s="47">
        <v>4.49</v>
      </c>
      <c r="Q49" s="37"/>
      <c r="R49" s="49">
        <v>11.61</v>
      </c>
      <c r="S49" s="49">
        <v>0.39550000000000002</v>
      </c>
      <c r="T49" s="49">
        <v>146.69999999999999</v>
      </c>
      <c r="U49" s="49">
        <v>7.0309999999999997</v>
      </c>
      <c r="V49" s="49">
        <v>1.423</v>
      </c>
      <c r="W49" s="50">
        <v>4.5330000000000004</v>
      </c>
      <c r="X49" s="51">
        <v>0.15679999999999999</v>
      </c>
      <c r="Y49" s="52">
        <v>-0.12609999999999999</v>
      </c>
      <c r="Z49" s="53">
        <v>-8.9449999999999998E-3</v>
      </c>
      <c r="AA49" s="54">
        <v>0</v>
      </c>
      <c r="AB49" s="54">
        <v>0</v>
      </c>
      <c r="AC49" s="54">
        <v>0</v>
      </c>
      <c r="AD49" s="54">
        <v>0</v>
      </c>
      <c r="AE49" s="54">
        <v>0</v>
      </c>
      <c r="AF49" s="39">
        <v>365</v>
      </c>
      <c r="AG49" s="39">
        <v>340.6</v>
      </c>
    </row>
    <row r="50" spans="1:33" x14ac:dyDescent="0.2">
      <c r="A50" s="37">
        <v>40</v>
      </c>
      <c r="B50" s="38">
        <v>6.734</v>
      </c>
      <c r="C50" s="38">
        <v>7.6029999999999998</v>
      </c>
      <c r="D50" s="39">
        <v>9120</v>
      </c>
      <c r="E50" s="39">
        <v>405.2</v>
      </c>
      <c r="F50" s="40">
        <v>5.7650000000000002E-3</v>
      </c>
      <c r="G50" s="41">
        <v>2.0389999999999998E-2</v>
      </c>
      <c r="H50" s="39">
        <v>2704</v>
      </c>
      <c r="I50" s="42">
        <v>-14.59</v>
      </c>
      <c r="J50" s="42">
        <v>5.4630000000000001</v>
      </c>
      <c r="K50" s="43">
        <v>-0.73329999999999995</v>
      </c>
      <c r="L50" s="40">
        <v>4.2419999999999999E-2</v>
      </c>
      <c r="M50" s="44">
        <v>-8.9979999999999997E-4</v>
      </c>
      <c r="N50" s="45">
        <v>6605</v>
      </c>
      <c r="O50" s="46">
        <v>91.22</v>
      </c>
      <c r="P50" s="47">
        <v>6.47</v>
      </c>
      <c r="Q50" s="37"/>
      <c r="R50" s="49">
        <v>10.99</v>
      </c>
      <c r="S50" s="49">
        <v>0.41</v>
      </c>
      <c r="T50" s="49">
        <v>163.9</v>
      </c>
      <c r="U50" s="49">
        <v>7.1</v>
      </c>
      <c r="V50" s="49">
        <v>1.052</v>
      </c>
      <c r="W50" s="50">
        <v>4.548</v>
      </c>
      <c r="X50" s="51">
        <v>0.15720000000000001</v>
      </c>
      <c r="Y50" s="52">
        <v>-0.12559999999999999</v>
      </c>
      <c r="Z50" s="53">
        <v>-8.9009999999999992E-3</v>
      </c>
      <c r="AA50" s="54">
        <v>0</v>
      </c>
      <c r="AB50" s="54">
        <v>0</v>
      </c>
      <c r="AC50" s="54">
        <v>0</v>
      </c>
      <c r="AD50" s="54">
        <v>0</v>
      </c>
      <c r="AE50" s="54">
        <v>0</v>
      </c>
      <c r="AF50" s="39">
        <v>382</v>
      </c>
      <c r="AG50" s="39">
        <v>349.6</v>
      </c>
    </row>
    <row r="51" spans="1:33" x14ac:dyDescent="0.2">
      <c r="A51" s="37">
        <v>41</v>
      </c>
      <c r="B51" s="38">
        <v>6.9020000000000001</v>
      </c>
      <c r="C51" s="38">
        <v>7.7910000000000004</v>
      </c>
      <c r="D51" s="39">
        <v>9333</v>
      </c>
      <c r="E51" s="39">
        <v>442.7</v>
      </c>
      <c r="F51" s="40">
        <v>5.587E-3</v>
      </c>
      <c r="G51" s="41">
        <v>2.0899999999999998E-2</v>
      </c>
      <c r="H51" s="39">
        <v>2621</v>
      </c>
      <c r="I51" s="42">
        <v>-16.22</v>
      </c>
      <c r="J51" s="42">
        <v>6.0940000000000003</v>
      </c>
      <c r="K51" s="43">
        <v>-0.82250000000000001</v>
      </c>
      <c r="L51" s="40">
        <v>4.7910000000000001E-2</v>
      </c>
      <c r="M51" s="44">
        <v>-1.024E-3</v>
      </c>
      <c r="N51" s="45">
        <v>6485</v>
      </c>
      <c r="O51" s="46">
        <v>92.906000000000006</v>
      </c>
      <c r="P51" s="47">
        <v>8.6020000000000003</v>
      </c>
      <c r="Q51" s="37"/>
      <c r="R51" s="49">
        <v>9.2409999999999997</v>
      </c>
      <c r="S51" s="49">
        <v>0.42749999999999999</v>
      </c>
      <c r="T51" s="49">
        <v>163.1</v>
      </c>
      <c r="U51" s="49">
        <v>7.9539999999999997</v>
      </c>
      <c r="V51" s="49">
        <v>1.1020000000000001</v>
      </c>
      <c r="W51" s="50">
        <v>4.5529999999999999</v>
      </c>
      <c r="X51" s="51">
        <v>0.15440000000000001</v>
      </c>
      <c r="Y51" s="52">
        <v>-0.1255</v>
      </c>
      <c r="Z51" s="53">
        <v>-8.8830000000000003E-3</v>
      </c>
      <c r="AA51" s="54">
        <v>0</v>
      </c>
      <c r="AB51" s="54">
        <v>0</v>
      </c>
      <c r="AC51" s="54">
        <v>0</v>
      </c>
      <c r="AD51" s="54">
        <v>0</v>
      </c>
      <c r="AE51" s="54">
        <v>0</v>
      </c>
      <c r="AF51" s="39">
        <v>391.3</v>
      </c>
      <c r="AG51" s="39">
        <v>364.8</v>
      </c>
    </row>
    <row r="52" spans="1:33" x14ac:dyDescent="0.2">
      <c r="A52" s="37">
        <v>42</v>
      </c>
      <c r="B52" s="38">
        <v>6.4249999999999998</v>
      </c>
      <c r="C52" s="38">
        <v>7.2480000000000002</v>
      </c>
      <c r="D52" s="39">
        <v>9545</v>
      </c>
      <c r="E52" s="39">
        <v>480.2</v>
      </c>
      <c r="F52" s="40">
        <v>5.3670000000000002E-3</v>
      </c>
      <c r="G52" s="41">
        <v>2.1409999999999998E-2</v>
      </c>
      <c r="H52" s="39">
        <v>2517</v>
      </c>
      <c r="I52" s="42">
        <v>-17.850000000000001</v>
      </c>
      <c r="J52" s="42">
        <v>6.7249999999999996</v>
      </c>
      <c r="K52" s="43">
        <v>-0.91159999999999997</v>
      </c>
      <c r="L52" s="40">
        <v>5.339E-2</v>
      </c>
      <c r="M52" s="44">
        <v>-1.1479999999999999E-3</v>
      </c>
      <c r="N52" s="45">
        <v>6280</v>
      </c>
      <c r="O52" s="46">
        <v>91.91</v>
      </c>
      <c r="P52" s="47">
        <v>10.210000000000001</v>
      </c>
      <c r="Q52" s="37"/>
      <c r="R52" s="49">
        <v>9.2759999999999998</v>
      </c>
      <c r="S52" s="49">
        <v>0.41799999999999998</v>
      </c>
      <c r="T52" s="49">
        <v>157.1</v>
      </c>
      <c r="U52" s="49">
        <v>8.0380000000000003</v>
      </c>
      <c r="V52" s="49">
        <v>1.29</v>
      </c>
      <c r="W52" s="50">
        <v>4.548</v>
      </c>
      <c r="X52" s="51">
        <v>0.14849999999999999</v>
      </c>
      <c r="Y52" s="52">
        <v>-0.12590000000000001</v>
      </c>
      <c r="Z52" s="53">
        <v>-8.8889999999999993E-3</v>
      </c>
      <c r="AA52" s="54">
        <v>0</v>
      </c>
      <c r="AB52" s="54">
        <v>0</v>
      </c>
      <c r="AC52" s="54">
        <v>0</v>
      </c>
      <c r="AD52" s="54">
        <v>0</v>
      </c>
      <c r="AE52" s="54">
        <v>0</v>
      </c>
      <c r="AF52" s="39">
        <v>393</v>
      </c>
      <c r="AG52" s="39">
        <v>374.8</v>
      </c>
    </row>
    <row r="53" spans="1:33" x14ac:dyDescent="0.2">
      <c r="A53" s="37">
        <v>43</v>
      </c>
      <c r="B53" s="38">
        <v>6.7990000000000004</v>
      </c>
      <c r="C53" s="38">
        <v>7.6710000000000003</v>
      </c>
      <c r="D53" s="39">
        <v>9756</v>
      </c>
      <c r="E53" s="39">
        <v>517.6</v>
      </c>
      <c r="F53" s="40">
        <v>5.3150000000000003E-3</v>
      </c>
      <c r="G53" s="41">
        <v>2.1919999999999999E-2</v>
      </c>
      <c r="H53" s="39">
        <v>2493</v>
      </c>
      <c r="I53" s="42">
        <v>-17.96</v>
      </c>
      <c r="J53" s="42">
        <v>6.7519999999999998</v>
      </c>
      <c r="K53" s="43">
        <v>-0.91349999999999998</v>
      </c>
      <c r="L53" s="40">
        <v>5.3409999999999999E-2</v>
      </c>
      <c r="M53" s="44">
        <v>-1.147E-3</v>
      </c>
      <c r="N53" s="45">
        <v>6086</v>
      </c>
      <c r="O53" s="46">
        <v>98.965000000000003</v>
      </c>
      <c r="P53" s="47">
        <v>11</v>
      </c>
      <c r="Q53" s="37" t="s">
        <v>0</v>
      </c>
      <c r="R53" s="49">
        <v>3.9990000000000001</v>
      </c>
      <c r="S53" s="49">
        <v>0.61519999999999997</v>
      </c>
      <c r="T53" s="49">
        <v>97.6</v>
      </c>
      <c r="U53" s="49">
        <v>1.2969999999999999</v>
      </c>
      <c r="V53" s="49">
        <v>5.7919999999999998</v>
      </c>
      <c r="W53" s="50">
        <v>4.4889999999999999</v>
      </c>
      <c r="X53" s="51">
        <v>0.1128</v>
      </c>
      <c r="Y53" s="52">
        <v>-0.13089999999999999</v>
      </c>
      <c r="Z53" s="53">
        <v>-9.1070000000000005E-3</v>
      </c>
      <c r="AA53" s="54">
        <v>0</v>
      </c>
      <c r="AB53" s="54">
        <v>0</v>
      </c>
      <c r="AC53" s="54">
        <v>0</v>
      </c>
      <c r="AD53" s="54">
        <v>0</v>
      </c>
      <c r="AE53" s="54">
        <v>0</v>
      </c>
      <c r="AF53" s="39">
        <v>416.2</v>
      </c>
      <c r="AG53" s="39">
        <v>377.1</v>
      </c>
    </row>
    <row r="54" spans="1:33" x14ac:dyDescent="0.2">
      <c r="A54" s="37">
        <v>44</v>
      </c>
      <c r="B54" s="38">
        <v>6.1079999999999997</v>
      </c>
      <c r="C54" s="38">
        <v>6.8869999999999996</v>
      </c>
      <c r="D54" s="39">
        <v>9966</v>
      </c>
      <c r="E54" s="39">
        <v>555.1</v>
      </c>
      <c r="F54" s="40">
        <v>5.1510000000000002E-3</v>
      </c>
      <c r="G54" s="41">
        <v>2.2429999999999999E-2</v>
      </c>
      <c r="H54" s="39">
        <v>2416</v>
      </c>
      <c r="I54" s="42">
        <v>-18.07</v>
      </c>
      <c r="J54" s="42">
        <v>6.7789999999999999</v>
      </c>
      <c r="K54" s="43">
        <v>-0.91539999999999999</v>
      </c>
      <c r="L54" s="40">
        <v>5.3420000000000002E-2</v>
      </c>
      <c r="M54" s="44">
        <v>-1.145E-3</v>
      </c>
      <c r="N54" s="45">
        <v>5961</v>
      </c>
      <c r="O54" s="46">
        <v>101.07</v>
      </c>
      <c r="P54" s="47">
        <v>12.18</v>
      </c>
      <c r="Q54" s="37"/>
      <c r="R54" s="49">
        <v>4.306</v>
      </c>
      <c r="S54" s="49">
        <v>0.56579999999999997</v>
      </c>
      <c r="T54" s="49">
        <v>97.99</v>
      </c>
      <c r="U54" s="49">
        <v>5.5140000000000002</v>
      </c>
      <c r="V54" s="49">
        <v>5.7539999999999996</v>
      </c>
      <c r="W54" s="50">
        <v>4.4020000000000001</v>
      </c>
      <c r="X54" s="51">
        <v>6.6559999999999994E-2</v>
      </c>
      <c r="Y54" s="52">
        <v>-0.13750000000000001</v>
      </c>
      <c r="Z54" s="53">
        <v>-9.4210000000000006E-3</v>
      </c>
      <c r="AA54" s="54">
        <v>0</v>
      </c>
      <c r="AB54" s="54">
        <v>0</v>
      </c>
      <c r="AC54" s="54">
        <v>0</v>
      </c>
      <c r="AD54" s="54">
        <v>0</v>
      </c>
      <c r="AE54" s="54">
        <v>0</v>
      </c>
      <c r="AF54" s="39">
        <v>428.6</v>
      </c>
      <c r="AG54" s="39">
        <v>396.8</v>
      </c>
    </row>
    <row r="55" spans="1:33" x14ac:dyDescent="0.2">
      <c r="A55" s="37">
        <v>45</v>
      </c>
      <c r="B55" s="38">
        <v>5.9240000000000004</v>
      </c>
      <c r="C55" s="38">
        <v>6.6769999999999996</v>
      </c>
      <c r="D55" s="39">
        <v>10180</v>
      </c>
      <c r="E55" s="39">
        <v>592.5</v>
      </c>
      <c r="F55" s="40">
        <v>4.9189999999999998E-3</v>
      </c>
      <c r="G55" s="41">
        <v>2.2939999999999999E-2</v>
      </c>
      <c r="H55" s="39">
        <v>2307</v>
      </c>
      <c r="I55" s="42">
        <v>-18.18</v>
      </c>
      <c r="J55" s="42">
        <v>6.806</v>
      </c>
      <c r="K55" s="43">
        <v>-0.9173</v>
      </c>
      <c r="L55" s="40">
        <v>5.3429999999999998E-2</v>
      </c>
      <c r="M55" s="44">
        <v>-1.1429999999999999E-3</v>
      </c>
      <c r="N55" s="45">
        <v>5855</v>
      </c>
      <c r="O55" s="46">
        <v>102.90600000000001</v>
      </c>
      <c r="P55" s="47">
        <v>12.4</v>
      </c>
      <c r="Q55" s="37"/>
      <c r="R55" s="49">
        <v>3.6150000000000002</v>
      </c>
      <c r="S55" s="49">
        <v>0.61970000000000003</v>
      </c>
      <c r="T55" s="49">
        <v>86.26</v>
      </c>
      <c r="U55" s="49">
        <v>0.33300000000000002</v>
      </c>
      <c r="V55" s="49">
        <v>8.6890000000000001</v>
      </c>
      <c r="W55" s="50">
        <v>4.2919999999999998</v>
      </c>
      <c r="X55" s="51">
        <v>1.0120000000000001E-2</v>
      </c>
      <c r="Y55" s="52">
        <v>-0.1459</v>
      </c>
      <c r="Z55" s="53">
        <v>-9.835E-3</v>
      </c>
      <c r="AA55" s="54">
        <v>0</v>
      </c>
      <c r="AB55" s="54">
        <v>0</v>
      </c>
      <c r="AC55" s="54">
        <v>0</v>
      </c>
      <c r="AD55" s="54">
        <v>0</v>
      </c>
      <c r="AE55" s="54">
        <v>0</v>
      </c>
      <c r="AF55" s="39">
        <v>436.4</v>
      </c>
      <c r="AG55" s="39">
        <v>408.1</v>
      </c>
    </row>
    <row r="56" spans="1:33" x14ac:dyDescent="0.2">
      <c r="A56" s="37">
        <v>46</v>
      </c>
      <c r="B56" s="38">
        <v>5.2380000000000004</v>
      </c>
      <c r="C56" s="38">
        <v>5.9</v>
      </c>
      <c r="D56" s="39">
        <v>10380</v>
      </c>
      <c r="E56" s="39">
        <v>630</v>
      </c>
      <c r="F56" s="40">
        <v>4.7580000000000001E-3</v>
      </c>
      <c r="G56" s="41">
        <v>2.3449999999999999E-2</v>
      </c>
      <c r="H56" s="39">
        <v>2231</v>
      </c>
      <c r="I56" s="42">
        <v>-18.28</v>
      </c>
      <c r="J56" s="42">
        <v>6.8330000000000002</v>
      </c>
      <c r="K56" s="43">
        <v>-0.91920000000000002</v>
      </c>
      <c r="L56" s="40">
        <v>5.3449999999999998E-2</v>
      </c>
      <c r="M56" s="44">
        <v>-1.142E-3</v>
      </c>
      <c r="N56" s="45">
        <v>5663</v>
      </c>
      <c r="O56" s="46">
        <v>106.42</v>
      </c>
      <c r="P56" s="47">
        <v>11.96</v>
      </c>
      <c r="Q56" s="37"/>
      <c r="R56" s="49">
        <v>5.8</v>
      </c>
      <c r="S56" s="49">
        <v>0.49</v>
      </c>
      <c r="T56" s="49">
        <v>147.19999999999999</v>
      </c>
      <c r="U56" s="49">
        <v>6.9029999999999996</v>
      </c>
      <c r="V56" s="49">
        <v>1.2889999999999999</v>
      </c>
      <c r="W56" s="50">
        <v>4.1870000000000003</v>
      </c>
      <c r="X56" s="51">
        <v>-4.539E-2</v>
      </c>
      <c r="Y56" s="52">
        <v>-0.1542</v>
      </c>
      <c r="Z56" s="53">
        <v>-1.025E-2</v>
      </c>
      <c r="AA56" s="54">
        <v>0</v>
      </c>
      <c r="AB56" s="54">
        <v>0</v>
      </c>
      <c r="AC56" s="54">
        <v>0</v>
      </c>
      <c r="AD56" s="54">
        <v>0</v>
      </c>
      <c r="AE56" s="54">
        <v>0</v>
      </c>
      <c r="AF56" s="39">
        <v>456</v>
      </c>
      <c r="AG56" s="39">
        <v>431.4</v>
      </c>
    </row>
    <row r="57" spans="1:33" x14ac:dyDescent="0.2">
      <c r="A57" s="37">
        <v>47</v>
      </c>
      <c r="B57" s="38">
        <v>5.6230000000000002</v>
      </c>
      <c r="C57" s="38">
        <v>6.3540000000000001</v>
      </c>
      <c r="D57" s="39">
        <v>7160</v>
      </c>
      <c r="E57" s="39">
        <v>337.6</v>
      </c>
      <c r="F57" s="40">
        <v>1.3939999999999999E-2</v>
      </c>
      <c r="G57" s="41">
        <v>2.3959999999999999E-2</v>
      </c>
      <c r="H57" s="39">
        <v>2193</v>
      </c>
      <c r="I57" s="42">
        <v>-18.39</v>
      </c>
      <c r="J57" s="42">
        <v>6.86</v>
      </c>
      <c r="K57" s="43">
        <v>-0.92110000000000003</v>
      </c>
      <c r="L57" s="40">
        <v>5.3460000000000001E-2</v>
      </c>
      <c r="M57" s="44">
        <v>-1.14E-3</v>
      </c>
      <c r="N57" s="45">
        <v>5585</v>
      </c>
      <c r="O57" s="46">
        <v>107.86799999999999</v>
      </c>
      <c r="P57" s="47">
        <v>10.47</v>
      </c>
      <c r="Q57" s="37"/>
      <c r="R57" s="49">
        <v>5.6</v>
      </c>
      <c r="S57" s="49">
        <v>0.49</v>
      </c>
      <c r="T57" s="49">
        <v>130</v>
      </c>
      <c r="U57" s="49">
        <v>10</v>
      </c>
      <c r="V57" s="49">
        <v>2.8439999999999999</v>
      </c>
      <c r="W57" s="50">
        <v>4.577</v>
      </c>
      <c r="X57" s="51">
        <v>0.13</v>
      </c>
      <c r="Y57" s="52">
        <v>-0.1285</v>
      </c>
      <c r="Z57" s="53">
        <v>-9.0670000000000004E-3</v>
      </c>
      <c r="AA57" s="54">
        <v>0</v>
      </c>
      <c r="AB57" s="54">
        <v>0</v>
      </c>
      <c r="AC57" s="54">
        <v>0</v>
      </c>
      <c r="AD57" s="54">
        <v>0</v>
      </c>
      <c r="AE57" s="54">
        <v>0</v>
      </c>
      <c r="AF57" s="39">
        <v>470</v>
      </c>
      <c r="AG57" s="39">
        <v>432.7</v>
      </c>
    </row>
    <row r="58" spans="1:33" x14ac:dyDescent="0.2">
      <c r="A58" s="37">
        <v>48</v>
      </c>
      <c r="B58" s="38">
        <v>5.8140000000000001</v>
      </c>
      <c r="C58" s="38">
        <v>6.5540000000000003</v>
      </c>
      <c r="D58" s="39">
        <v>10800</v>
      </c>
      <c r="E58" s="39">
        <v>355.5</v>
      </c>
      <c r="F58" s="40">
        <v>4.6259999999999999E-3</v>
      </c>
      <c r="G58" s="41">
        <v>2.4469999999999999E-2</v>
      </c>
      <c r="H58" s="39">
        <v>2170</v>
      </c>
      <c r="I58" s="42">
        <v>-18.62</v>
      </c>
      <c r="J58" s="42">
        <v>6.915</v>
      </c>
      <c r="K58" s="43">
        <v>-0.92430000000000001</v>
      </c>
      <c r="L58" s="40">
        <v>5.3400000000000003E-2</v>
      </c>
      <c r="M58" s="44">
        <v>-1.134E-3</v>
      </c>
      <c r="N58" s="45">
        <v>5360</v>
      </c>
      <c r="O58" s="46">
        <v>112.41</v>
      </c>
      <c r="P58" s="47">
        <v>8.58</v>
      </c>
      <c r="Q58" s="37"/>
      <c r="R58" s="49">
        <v>3.55</v>
      </c>
      <c r="S58" s="49">
        <v>0.60680000000000001</v>
      </c>
      <c r="T58" s="49">
        <v>124.7</v>
      </c>
      <c r="U58" s="49">
        <v>1.1120000000000001</v>
      </c>
      <c r="V58" s="49">
        <v>3.1190000000000002</v>
      </c>
      <c r="W58" s="50">
        <v>4.5830000000000002</v>
      </c>
      <c r="X58" s="51">
        <v>0.12529999999999999</v>
      </c>
      <c r="Y58" s="52">
        <v>-0.12909999999999999</v>
      </c>
      <c r="Z58" s="53">
        <v>-9.0840000000000001E-3</v>
      </c>
      <c r="AA58" s="54">
        <v>0</v>
      </c>
      <c r="AB58" s="54">
        <v>0</v>
      </c>
      <c r="AC58" s="54">
        <v>0</v>
      </c>
      <c r="AD58" s="54">
        <v>0</v>
      </c>
      <c r="AE58" s="54">
        <v>0</v>
      </c>
      <c r="AF58" s="39">
        <v>466</v>
      </c>
      <c r="AG58" s="39">
        <v>435.8</v>
      </c>
    </row>
    <row r="59" spans="1:33" x14ac:dyDescent="0.2">
      <c r="A59" s="37">
        <v>49</v>
      </c>
      <c r="B59" s="38">
        <v>6.23</v>
      </c>
      <c r="C59" s="38">
        <v>7.024</v>
      </c>
      <c r="D59" s="39">
        <v>11010</v>
      </c>
      <c r="E59" s="39">
        <v>370.9</v>
      </c>
      <c r="F59" s="40">
        <v>4.5399999999999998E-3</v>
      </c>
      <c r="G59" s="41">
        <v>2.4979999999999999E-2</v>
      </c>
      <c r="H59" s="39">
        <v>2129</v>
      </c>
      <c r="I59" s="42">
        <v>-18.850000000000001</v>
      </c>
      <c r="J59" s="42">
        <v>6.9690000000000003</v>
      </c>
      <c r="K59" s="43">
        <v>-0.92749999999999999</v>
      </c>
      <c r="L59" s="40">
        <v>5.3350000000000002E-2</v>
      </c>
      <c r="M59" s="44">
        <v>-1.127E-3</v>
      </c>
      <c r="N59" s="45">
        <v>5247</v>
      </c>
      <c r="O59" s="46">
        <v>114.82</v>
      </c>
      <c r="P59" s="47">
        <v>7.3129999999999997</v>
      </c>
      <c r="Q59" s="37"/>
      <c r="R59" s="49">
        <v>3.6</v>
      </c>
      <c r="S59" s="49">
        <v>0.62</v>
      </c>
      <c r="T59" s="49">
        <v>105.8</v>
      </c>
      <c r="U59" s="49">
        <v>0.16919999999999999</v>
      </c>
      <c r="V59" s="49">
        <v>6.0259999999999998</v>
      </c>
      <c r="W59" s="50">
        <v>4.58</v>
      </c>
      <c r="X59" s="51">
        <v>0.1174</v>
      </c>
      <c r="Y59" s="52">
        <v>-0.13009999999999999</v>
      </c>
      <c r="Z59" s="53">
        <v>-9.129E-3</v>
      </c>
      <c r="AA59" s="54">
        <v>0</v>
      </c>
      <c r="AB59" s="54">
        <v>0</v>
      </c>
      <c r="AC59" s="54">
        <v>0</v>
      </c>
      <c r="AD59" s="54">
        <v>0</v>
      </c>
      <c r="AE59" s="54">
        <v>0</v>
      </c>
      <c r="AF59" s="39">
        <v>479</v>
      </c>
      <c r="AG59" s="39">
        <v>434.7</v>
      </c>
    </row>
    <row r="60" spans="1:33" x14ac:dyDescent="0.2">
      <c r="A60" s="37">
        <v>50</v>
      </c>
      <c r="B60" s="38">
        <v>6.41</v>
      </c>
      <c r="C60" s="38">
        <v>7.2270000000000003</v>
      </c>
      <c r="D60" s="39">
        <v>11210</v>
      </c>
      <c r="E60" s="39">
        <v>386.4</v>
      </c>
      <c r="F60" s="40">
        <v>4.4739999999999997E-3</v>
      </c>
      <c r="G60" s="41">
        <v>2.5489999999999999E-2</v>
      </c>
      <c r="H60" s="39">
        <v>2099</v>
      </c>
      <c r="I60" s="42">
        <v>-19.07</v>
      </c>
      <c r="J60" s="42">
        <v>7.024</v>
      </c>
      <c r="K60" s="43">
        <v>-0.93079999999999996</v>
      </c>
      <c r="L60" s="40">
        <v>5.3289999999999997E-2</v>
      </c>
      <c r="M60" s="44">
        <v>-1.121E-3</v>
      </c>
      <c r="N60" s="45">
        <v>5076</v>
      </c>
      <c r="O60" s="46">
        <v>118.69</v>
      </c>
      <c r="P60" s="47">
        <v>7.282</v>
      </c>
      <c r="Q60" s="37"/>
      <c r="R60" s="49">
        <v>5.4</v>
      </c>
      <c r="S60" s="49">
        <v>0.53</v>
      </c>
      <c r="T60" s="49">
        <v>103.1</v>
      </c>
      <c r="U60" s="49">
        <v>3.931</v>
      </c>
      <c r="V60" s="49">
        <v>7.7670000000000003</v>
      </c>
      <c r="W60" s="50">
        <v>4.5810000000000004</v>
      </c>
      <c r="X60" s="51">
        <v>0.111</v>
      </c>
      <c r="Y60" s="52">
        <v>-0.13089999999999999</v>
      </c>
      <c r="Z60" s="53">
        <v>-9.1610000000000007E-3</v>
      </c>
      <c r="AA60" s="54">
        <v>0</v>
      </c>
      <c r="AB60" s="54">
        <v>0</v>
      </c>
      <c r="AC60" s="54">
        <v>0</v>
      </c>
      <c r="AD60" s="54">
        <v>0</v>
      </c>
      <c r="AE60" s="54">
        <v>0</v>
      </c>
      <c r="AF60" s="39">
        <v>511.8</v>
      </c>
      <c r="AG60" s="39">
        <v>436.8</v>
      </c>
    </row>
    <row r="61" spans="1:33" x14ac:dyDescent="0.2">
      <c r="A61" s="37">
        <v>51</v>
      </c>
      <c r="B61" s="38">
        <v>7.5</v>
      </c>
      <c r="C61" s="38">
        <v>8.48</v>
      </c>
      <c r="D61" s="39">
        <v>8608</v>
      </c>
      <c r="E61" s="39">
        <v>348</v>
      </c>
      <c r="F61" s="40">
        <v>9.0740000000000005E-3</v>
      </c>
      <c r="G61" s="41">
        <v>2.5999999999999999E-2</v>
      </c>
      <c r="H61" s="39">
        <v>2069</v>
      </c>
      <c r="I61" s="42">
        <v>-19.57</v>
      </c>
      <c r="J61" s="42">
        <v>7.2249999999999996</v>
      </c>
      <c r="K61" s="43">
        <v>-0.96030000000000004</v>
      </c>
      <c r="L61" s="40">
        <v>5.518E-2</v>
      </c>
      <c r="M61" s="44">
        <v>-1.165E-3</v>
      </c>
      <c r="N61" s="45">
        <v>4949</v>
      </c>
      <c r="O61" s="46">
        <v>121.75</v>
      </c>
      <c r="P61" s="47">
        <v>6.617</v>
      </c>
      <c r="Q61" s="37"/>
      <c r="R61" s="49">
        <v>3.97</v>
      </c>
      <c r="S61" s="49">
        <v>0.64590000000000003</v>
      </c>
      <c r="T61" s="49">
        <v>131.80000000000001</v>
      </c>
      <c r="U61" s="49">
        <v>0.2233</v>
      </c>
      <c r="V61" s="49">
        <v>2.7229999999999999</v>
      </c>
      <c r="W61" s="50">
        <v>4.5819999999999999</v>
      </c>
      <c r="X61" s="51">
        <v>0.1046</v>
      </c>
      <c r="Y61" s="52">
        <v>-0.13170000000000001</v>
      </c>
      <c r="Z61" s="53">
        <v>-9.1929999999999998E-3</v>
      </c>
      <c r="AA61" s="54">
        <v>0</v>
      </c>
      <c r="AB61" s="54">
        <v>0</v>
      </c>
      <c r="AC61" s="54">
        <v>0</v>
      </c>
      <c r="AD61" s="54">
        <v>0</v>
      </c>
      <c r="AE61" s="54">
        <v>0</v>
      </c>
      <c r="AF61" s="39">
        <v>491.9</v>
      </c>
      <c r="AG61" s="39">
        <v>440.3</v>
      </c>
    </row>
    <row r="62" spans="1:33" x14ac:dyDescent="0.2">
      <c r="A62" s="37">
        <v>52</v>
      </c>
      <c r="B62" s="38">
        <v>6.9790000000000001</v>
      </c>
      <c r="C62" s="38">
        <v>7.8710000000000004</v>
      </c>
      <c r="D62" s="39">
        <v>11620</v>
      </c>
      <c r="E62" s="39">
        <v>392.4</v>
      </c>
      <c r="F62" s="40">
        <v>4.4019999999999997E-3</v>
      </c>
      <c r="G62" s="41">
        <v>2.6509999999999999E-2</v>
      </c>
      <c r="H62" s="39">
        <v>2065</v>
      </c>
      <c r="I62" s="42">
        <v>-20.07</v>
      </c>
      <c r="J62" s="42">
        <v>7.4260000000000002</v>
      </c>
      <c r="K62" s="43">
        <v>-0.9899</v>
      </c>
      <c r="L62" s="40">
        <v>5.7070000000000003E-2</v>
      </c>
      <c r="M62" s="44">
        <v>-1.209E-3</v>
      </c>
      <c r="N62" s="45">
        <v>4722</v>
      </c>
      <c r="O62" s="46">
        <v>127.6</v>
      </c>
      <c r="P62" s="47">
        <v>6.2240000000000002</v>
      </c>
      <c r="Q62" s="37"/>
      <c r="R62" s="49">
        <v>3.65</v>
      </c>
      <c r="S62" s="49">
        <v>0.64</v>
      </c>
      <c r="T62" s="49">
        <v>126.8</v>
      </c>
      <c r="U62" s="49">
        <v>0.68340000000000001</v>
      </c>
      <c r="V62" s="49">
        <v>3.411</v>
      </c>
      <c r="W62" s="50">
        <v>4.5999999999999996</v>
      </c>
      <c r="X62" s="51">
        <v>0.1052</v>
      </c>
      <c r="Y62" s="52">
        <v>-0.13150000000000001</v>
      </c>
      <c r="Z62" s="53">
        <v>-9.1780000000000004E-3</v>
      </c>
      <c r="AA62" s="54">
        <v>0</v>
      </c>
      <c r="AB62" s="54">
        <v>0</v>
      </c>
      <c r="AC62" s="54">
        <v>0</v>
      </c>
      <c r="AD62" s="54">
        <v>0</v>
      </c>
      <c r="AE62" s="54">
        <v>0</v>
      </c>
      <c r="AF62" s="39">
        <v>491.3</v>
      </c>
      <c r="AG62" s="39">
        <v>446.9</v>
      </c>
    </row>
    <row r="63" spans="1:33" x14ac:dyDescent="0.2">
      <c r="A63" s="37">
        <v>53</v>
      </c>
      <c r="B63" s="38">
        <v>7.7249999999999996</v>
      </c>
      <c r="C63" s="38">
        <v>8.7159999999999993</v>
      </c>
      <c r="D63" s="39">
        <v>11830</v>
      </c>
      <c r="E63" s="39">
        <v>394.8</v>
      </c>
      <c r="F63" s="40">
        <v>4.3759999999999997E-3</v>
      </c>
      <c r="G63" s="41">
        <v>2.7019999999999999E-2</v>
      </c>
      <c r="H63" s="39">
        <v>2052</v>
      </c>
      <c r="I63" s="42">
        <v>-20.56</v>
      </c>
      <c r="J63" s="42">
        <v>7.6269999999999998</v>
      </c>
      <c r="K63" s="43">
        <v>-1.0189999999999999</v>
      </c>
      <c r="L63" s="40">
        <v>5.8959999999999999E-2</v>
      </c>
      <c r="M63" s="44">
        <v>-1.2539999999999999E-3</v>
      </c>
      <c r="N63" s="45">
        <v>4748</v>
      </c>
      <c r="O63" s="46">
        <v>126.905</v>
      </c>
      <c r="P63" s="47">
        <v>4.9379999999999997</v>
      </c>
      <c r="Q63" s="37"/>
      <c r="R63" s="49">
        <v>3.1179999999999999</v>
      </c>
      <c r="S63" s="49">
        <v>0.65190000000000003</v>
      </c>
      <c r="T63" s="49">
        <v>164.9</v>
      </c>
      <c r="U63" s="49">
        <v>1.208</v>
      </c>
      <c r="V63" s="49">
        <v>1.51</v>
      </c>
      <c r="W63" s="50">
        <v>4.6139999999999999</v>
      </c>
      <c r="X63" s="51">
        <v>0.1043</v>
      </c>
      <c r="Y63" s="52">
        <v>-0.13150000000000001</v>
      </c>
      <c r="Z63" s="53">
        <v>-9.1750000000000009E-3</v>
      </c>
      <c r="AA63" s="54">
        <v>4.13</v>
      </c>
      <c r="AB63" s="54">
        <v>0.61770000000000003</v>
      </c>
      <c r="AC63" s="54">
        <v>152</v>
      </c>
      <c r="AD63" s="54">
        <v>2.516</v>
      </c>
      <c r="AE63" s="54">
        <v>1.9379999999999999</v>
      </c>
      <c r="AF63" s="39">
        <v>491.8</v>
      </c>
      <c r="AG63" s="39">
        <v>452.4</v>
      </c>
    </row>
    <row r="64" spans="1:33" x14ac:dyDescent="0.2">
      <c r="A64" s="37">
        <v>54</v>
      </c>
      <c r="B64" s="38">
        <v>8.2309999999999999</v>
      </c>
      <c r="C64" s="38">
        <v>9.2889999999999997</v>
      </c>
      <c r="D64" s="39">
        <v>12030</v>
      </c>
      <c r="E64" s="39">
        <v>397.3</v>
      </c>
      <c r="F64" s="40">
        <v>4.3839999999999999E-3</v>
      </c>
      <c r="G64" s="41">
        <v>2.7529999999999999E-2</v>
      </c>
      <c r="H64" s="39">
        <v>2056</v>
      </c>
      <c r="I64" s="42">
        <v>-21.06</v>
      </c>
      <c r="J64" s="42">
        <v>7.8280000000000003</v>
      </c>
      <c r="K64" s="43">
        <v>-1.0489999999999999</v>
      </c>
      <c r="L64" s="40">
        <v>6.0850000000000001E-2</v>
      </c>
      <c r="M64" s="44">
        <v>-1.2979999999999999E-3</v>
      </c>
      <c r="N64" s="45">
        <v>4589</v>
      </c>
      <c r="O64" s="46">
        <v>131.29</v>
      </c>
      <c r="P64" s="47">
        <v>5.8609999999999999E-3</v>
      </c>
      <c r="Q64" s="37"/>
      <c r="R64" s="49">
        <v>2.0310000000000001</v>
      </c>
      <c r="S64" s="49">
        <v>0.71809999999999996</v>
      </c>
      <c r="T64" s="49">
        <v>153.1</v>
      </c>
      <c r="U64" s="49">
        <v>1.3620000000000001</v>
      </c>
      <c r="V64" s="49">
        <v>1.958</v>
      </c>
      <c r="W64" s="50">
        <v>4.6189999999999998</v>
      </c>
      <c r="X64" s="51">
        <v>9.7689999999999999E-2</v>
      </c>
      <c r="Y64" s="52">
        <v>-0.13250000000000001</v>
      </c>
      <c r="Z64" s="53">
        <v>-9.2309999999999996E-3</v>
      </c>
      <c r="AA64" s="54">
        <v>3.9489999999999998</v>
      </c>
      <c r="AB64" s="54">
        <v>0.62090000000000001</v>
      </c>
      <c r="AC64" s="54">
        <v>200.5</v>
      </c>
      <c r="AD64" s="54">
        <v>1.8779999999999999</v>
      </c>
      <c r="AE64" s="54">
        <v>0.91259999999999997</v>
      </c>
      <c r="AF64" s="39">
        <v>495</v>
      </c>
      <c r="AG64" s="39">
        <v>459</v>
      </c>
    </row>
    <row r="65" spans="1:33" x14ac:dyDescent="0.2">
      <c r="A65" s="37">
        <v>55</v>
      </c>
      <c r="B65" s="38">
        <v>7.2869999999999999</v>
      </c>
      <c r="C65" s="38">
        <v>8.218</v>
      </c>
      <c r="D65" s="39">
        <v>12230</v>
      </c>
      <c r="E65" s="39">
        <v>399.7</v>
      </c>
      <c r="F65" s="40">
        <v>4.4470000000000004E-3</v>
      </c>
      <c r="G65" s="41">
        <v>2.8039999999999999E-2</v>
      </c>
      <c r="H65" s="39">
        <v>2086</v>
      </c>
      <c r="I65" s="42">
        <v>-20.399999999999999</v>
      </c>
      <c r="J65" s="42">
        <v>7.54</v>
      </c>
      <c r="K65" s="43">
        <v>-1.004</v>
      </c>
      <c r="L65" s="40">
        <v>5.7820000000000003E-2</v>
      </c>
      <c r="M65" s="44">
        <v>-1.224E-3</v>
      </c>
      <c r="N65" s="45">
        <v>4533</v>
      </c>
      <c r="O65" s="46">
        <v>132.905</v>
      </c>
      <c r="P65" s="47">
        <v>1.899</v>
      </c>
      <c r="Q65" s="37"/>
      <c r="R65" s="49">
        <v>14.4</v>
      </c>
      <c r="S65" s="49">
        <v>0.39229999999999998</v>
      </c>
      <c r="T65" s="49">
        <v>152.5</v>
      </c>
      <c r="U65" s="49">
        <v>8.3539999999999992</v>
      </c>
      <c r="V65" s="49">
        <v>2.597</v>
      </c>
      <c r="W65" s="50">
        <v>4.6710000000000003</v>
      </c>
      <c r="X65" s="51">
        <v>0.11360000000000001</v>
      </c>
      <c r="Y65" s="52">
        <v>-0.1298</v>
      </c>
      <c r="Z65" s="53">
        <v>-9.0779999999999993E-3</v>
      </c>
      <c r="AA65" s="54">
        <v>25.84</v>
      </c>
      <c r="AB65" s="54">
        <v>0.31390000000000001</v>
      </c>
      <c r="AC65" s="54">
        <v>335.1</v>
      </c>
      <c r="AD65" s="54">
        <v>2.9460000000000002</v>
      </c>
      <c r="AE65" s="54">
        <v>0.3347</v>
      </c>
      <c r="AF65" s="39">
        <v>484.8</v>
      </c>
      <c r="AG65" s="39">
        <v>448</v>
      </c>
    </row>
    <row r="66" spans="1:33" x14ac:dyDescent="0.2">
      <c r="A66" s="37">
        <v>56</v>
      </c>
      <c r="B66" s="38">
        <v>7.899</v>
      </c>
      <c r="C66" s="38">
        <v>8.9109999999999996</v>
      </c>
      <c r="D66" s="39">
        <v>12430</v>
      </c>
      <c r="E66" s="39">
        <v>402.1</v>
      </c>
      <c r="F66" s="40">
        <v>4.5110000000000003E-3</v>
      </c>
      <c r="G66" s="41">
        <v>2.8549999999999999E-2</v>
      </c>
      <c r="H66" s="39">
        <v>2116</v>
      </c>
      <c r="I66" s="42">
        <v>-19.739999999999998</v>
      </c>
      <c r="J66" s="42">
        <v>7.2519999999999998</v>
      </c>
      <c r="K66" s="43">
        <v>-0.95879999999999999</v>
      </c>
      <c r="L66" s="40">
        <v>5.4789999999999998E-2</v>
      </c>
      <c r="M66" s="44">
        <v>-1.1509999999999999E-3</v>
      </c>
      <c r="N66" s="45">
        <v>4387</v>
      </c>
      <c r="O66" s="46">
        <v>137.33000000000001</v>
      </c>
      <c r="P66" s="47">
        <v>3.5219999999999998</v>
      </c>
      <c r="Q66" s="37"/>
      <c r="R66" s="49">
        <v>10.99</v>
      </c>
      <c r="S66" s="49">
        <v>0.45989999999999998</v>
      </c>
      <c r="T66" s="49">
        <v>138.4</v>
      </c>
      <c r="U66" s="49">
        <v>4.8109999999999999</v>
      </c>
      <c r="V66" s="49">
        <v>3.726</v>
      </c>
      <c r="W66" s="50">
        <v>4.7060000000000004</v>
      </c>
      <c r="X66" s="51">
        <v>0.1206</v>
      </c>
      <c r="Y66" s="52">
        <v>-0.12870000000000001</v>
      </c>
      <c r="Z66" s="53">
        <v>-9.0089999999999996E-3</v>
      </c>
      <c r="AA66" s="54">
        <v>0</v>
      </c>
      <c r="AB66" s="54">
        <v>0</v>
      </c>
      <c r="AC66" s="54">
        <v>0</v>
      </c>
      <c r="AD66" s="54">
        <v>0</v>
      </c>
      <c r="AE66" s="54">
        <v>0</v>
      </c>
      <c r="AF66" s="39">
        <v>485.5</v>
      </c>
      <c r="AG66" s="39">
        <v>443.5</v>
      </c>
    </row>
    <row r="67" spans="1:33" x14ac:dyDescent="0.2">
      <c r="A67" s="37">
        <v>57</v>
      </c>
      <c r="B67" s="38">
        <v>8.0410000000000004</v>
      </c>
      <c r="C67" s="38">
        <v>9.0709999999999997</v>
      </c>
      <c r="D67" s="39">
        <v>12630</v>
      </c>
      <c r="E67" s="39">
        <v>404.5</v>
      </c>
      <c r="F67" s="40">
        <v>4.5399999999999998E-3</v>
      </c>
      <c r="G67" s="41">
        <v>2.9059999999999999E-2</v>
      </c>
      <c r="H67" s="39">
        <v>2129</v>
      </c>
      <c r="I67" s="42">
        <v>-19.079999999999998</v>
      </c>
      <c r="J67" s="42">
        <v>6.9640000000000004</v>
      </c>
      <c r="K67" s="43">
        <v>-0.91359999999999997</v>
      </c>
      <c r="L67" s="40">
        <v>5.176E-2</v>
      </c>
      <c r="M67" s="44">
        <v>-1.077E-3</v>
      </c>
      <c r="N67" s="45">
        <v>4337</v>
      </c>
      <c r="O67" s="46">
        <v>138.90600000000001</v>
      </c>
      <c r="P67" s="47">
        <v>6.1740000000000004</v>
      </c>
      <c r="Q67" s="37"/>
      <c r="R67" s="49">
        <v>16.600000000000001</v>
      </c>
      <c r="S67" s="49">
        <v>0.37730000000000002</v>
      </c>
      <c r="T67" s="49">
        <v>224.1</v>
      </c>
      <c r="U67" s="49">
        <v>6.28</v>
      </c>
      <c r="V67" s="49">
        <v>0.91210000000000002</v>
      </c>
      <c r="W67" s="50">
        <v>4.7320000000000002</v>
      </c>
      <c r="X67" s="51">
        <v>0.1244</v>
      </c>
      <c r="Y67" s="52">
        <v>-0.128</v>
      </c>
      <c r="Z67" s="53">
        <v>-8.9680000000000003E-3</v>
      </c>
      <c r="AA67" s="54">
        <v>0</v>
      </c>
      <c r="AB67" s="54">
        <v>0</v>
      </c>
      <c r="AC67" s="54">
        <v>0</v>
      </c>
      <c r="AD67" s="54">
        <v>0</v>
      </c>
      <c r="AE67" s="54">
        <v>0</v>
      </c>
      <c r="AF67" s="39">
        <v>493.8</v>
      </c>
      <c r="AG67" s="39">
        <v>447.8</v>
      </c>
    </row>
    <row r="68" spans="1:33" x14ac:dyDescent="0.2">
      <c r="A68" s="37">
        <v>58</v>
      </c>
      <c r="B68" s="38">
        <v>7.4889999999999999</v>
      </c>
      <c r="C68" s="38">
        <v>8.4440000000000008</v>
      </c>
      <c r="D68" s="39">
        <v>12830</v>
      </c>
      <c r="E68" s="39">
        <v>406.9</v>
      </c>
      <c r="F68" s="40">
        <v>4.4200000000000003E-3</v>
      </c>
      <c r="G68" s="41">
        <v>2.9569999999999999E-2</v>
      </c>
      <c r="H68" s="39">
        <v>2073</v>
      </c>
      <c r="I68" s="42">
        <v>-18.43</v>
      </c>
      <c r="J68" s="42">
        <v>6.6769999999999996</v>
      </c>
      <c r="K68" s="43">
        <v>-0.86839999999999995</v>
      </c>
      <c r="L68" s="40">
        <v>4.8719999999999999E-2</v>
      </c>
      <c r="M68" s="44">
        <v>-1.003E-3</v>
      </c>
      <c r="N68" s="45">
        <v>4300</v>
      </c>
      <c r="O68" s="46">
        <v>140.12</v>
      </c>
      <c r="P68" s="47">
        <v>6.6719999999999997</v>
      </c>
      <c r="Q68" s="37"/>
      <c r="R68" s="49">
        <v>10.54</v>
      </c>
      <c r="S68" s="49">
        <v>0.45329999999999998</v>
      </c>
      <c r="T68" s="49">
        <v>159.30000000000001</v>
      </c>
      <c r="U68" s="49">
        <v>4.8319999999999999</v>
      </c>
      <c r="V68" s="49">
        <v>2.5289999999999999</v>
      </c>
      <c r="W68" s="50">
        <v>4.7220000000000004</v>
      </c>
      <c r="X68" s="51">
        <v>0.11559999999999999</v>
      </c>
      <c r="Y68" s="52">
        <v>-0.12920000000000001</v>
      </c>
      <c r="Z68" s="53">
        <v>-9.0299999999999998E-3</v>
      </c>
      <c r="AA68" s="54">
        <v>0</v>
      </c>
      <c r="AB68" s="54">
        <v>0</v>
      </c>
      <c r="AC68" s="54">
        <v>0</v>
      </c>
      <c r="AD68" s="54">
        <v>0</v>
      </c>
      <c r="AE68" s="54">
        <v>0</v>
      </c>
      <c r="AF68" s="39">
        <v>512.70000000000005</v>
      </c>
      <c r="AG68" s="39">
        <v>465.8</v>
      </c>
    </row>
    <row r="69" spans="1:33" x14ac:dyDescent="0.2">
      <c r="A69" s="37">
        <v>59</v>
      </c>
      <c r="B69" s="38">
        <v>7.2910000000000004</v>
      </c>
      <c r="C69" s="38">
        <v>8.2189999999999994</v>
      </c>
      <c r="D69" s="39">
        <v>13030</v>
      </c>
      <c r="E69" s="39">
        <v>409.3</v>
      </c>
      <c r="F69" s="40">
        <v>4.2979999999999997E-3</v>
      </c>
      <c r="G69" s="41">
        <v>3.0079999999999999E-2</v>
      </c>
      <c r="H69" s="39">
        <v>2016</v>
      </c>
      <c r="I69" s="42">
        <v>-17.77</v>
      </c>
      <c r="J69" s="42">
        <v>6.3890000000000002</v>
      </c>
      <c r="K69" s="43">
        <v>-0.82330000000000003</v>
      </c>
      <c r="L69" s="40">
        <v>4.5690000000000001E-2</v>
      </c>
      <c r="M69" s="44">
        <v>-9.2920000000000003E-4</v>
      </c>
      <c r="N69" s="45">
        <v>4276</v>
      </c>
      <c r="O69" s="46">
        <v>140.90799999999999</v>
      </c>
      <c r="P69" s="47">
        <v>6.774</v>
      </c>
      <c r="Q69" s="37"/>
      <c r="R69" s="49">
        <v>10.33</v>
      </c>
      <c r="S69" s="49">
        <v>0.45019999999999999</v>
      </c>
      <c r="T69" s="49">
        <v>162</v>
      </c>
      <c r="U69" s="49">
        <v>5.1319999999999997</v>
      </c>
      <c r="V69" s="49">
        <v>2.444</v>
      </c>
      <c r="W69" s="50">
        <v>4.71</v>
      </c>
      <c r="X69" s="51">
        <v>0.106</v>
      </c>
      <c r="Y69" s="52">
        <v>-0.1305</v>
      </c>
      <c r="Z69" s="53">
        <v>-9.1000000000000004E-3</v>
      </c>
      <c r="AA69" s="54">
        <v>0</v>
      </c>
      <c r="AB69" s="54">
        <v>0</v>
      </c>
      <c r="AC69" s="54">
        <v>0</v>
      </c>
      <c r="AD69" s="54">
        <v>0</v>
      </c>
      <c r="AE69" s="54">
        <v>0</v>
      </c>
      <c r="AF69" s="39">
        <v>520.20000000000005</v>
      </c>
      <c r="AG69" s="39">
        <v>477.6</v>
      </c>
    </row>
    <row r="70" spans="1:33" x14ac:dyDescent="0.2">
      <c r="A70" s="37">
        <v>60</v>
      </c>
      <c r="B70" s="38">
        <v>7.0979999999999999</v>
      </c>
      <c r="C70" s="38">
        <v>8</v>
      </c>
      <c r="D70" s="39">
        <v>13230</v>
      </c>
      <c r="E70" s="39">
        <v>411.8</v>
      </c>
      <c r="F70" s="40">
        <v>4.182E-3</v>
      </c>
      <c r="G70" s="41">
        <v>3.0589999999999999E-2</v>
      </c>
      <c r="H70" s="39">
        <v>1962</v>
      </c>
      <c r="I70" s="42">
        <v>-17.11</v>
      </c>
      <c r="J70" s="42">
        <v>6.101</v>
      </c>
      <c r="K70" s="43">
        <v>-0.77810000000000001</v>
      </c>
      <c r="L70" s="40">
        <v>4.2659999999999997E-2</v>
      </c>
      <c r="M70" s="44">
        <v>-8.5530000000000003E-4</v>
      </c>
      <c r="N70" s="45">
        <v>4177</v>
      </c>
      <c r="O70" s="46">
        <v>144.24</v>
      </c>
      <c r="P70" s="47">
        <v>7.0019999999999998</v>
      </c>
      <c r="Q70" s="37"/>
      <c r="R70" s="49">
        <v>10.15</v>
      </c>
      <c r="S70" s="49">
        <v>0.4471</v>
      </c>
      <c r="T70" s="49">
        <v>165.6</v>
      </c>
      <c r="U70" s="49">
        <v>5.3780000000000001</v>
      </c>
      <c r="V70" s="49">
        <v>2.3279999999999998</v>
      </c>
      <c r="W70" s="50">
        <v>4.6980000000000004</v>
      </c>
      <c r="X70" s="51">
        <v>9.647E-2</v>
      </c>
      <c r="Y70" s="52">
        <v>-0.13189999999999999</v>
      </c>
      <c r="Z70" s="53">
        <v>-9.1690000000000001E-3</v>
      </c>
      <c r="AA70" s="54">
        <v>0</v>
      </c>
      <c r="AB70" s="54">
        <v>0</v>
      </c>
      <c r="AC70" s="54">
        <v>0</v>
      </c>
      <c r="AD70" s="54">
        <v>0</v>
      </c>
      <c r="AE70" s="54">
        <v>0</v>
      </c>
      <c r="AF70" s="39">
        <v>540</v>
      </c>
      <c r="AG70" s="39">
        <v>489.8</v>
      </c>
    </row>
    <row r="71" spans="1:33" x14ac:dyDescent="0.2">
      <c r="A71" s="37">
        <v>61</v>
      </c>
      <c r="B71" s="38">
        <v>6.91</v>
      </c>
      <c r="C71" s="38">
        <v>7.7859999999999996</v>
      </c>
      <c r="D71" s="39">
        <v>13430</v>
      </c>
      <c r="E71" s="39">
        <v>414.2</v>
      </c>
      <c r="F71" s="40">
        <v>4.058E-3</v>
      </c>
      <c r="G71" s="41">
        <v>3.1099999999999999E-2</v>
      </c>
      <c r="H71" s="39">
        <v>1903</v>
      </c>
      <c r="I71" s="42">
        <v>-16.45</v>
      </c>
      <c r="J71" s="42">
        <v>5.8129999999999997</v>
      </c>
      <c r="K71" s="43">
        <v>-0.73299999999999998</v>
      </c>
      <c r="L71" s="40">
        <v>3.9629999999999999E-2</v>
      </c>
      <c r="M71" s="44">
        <v>-7.8149999999999997E-4</v>
      </c>
      <c r="N71" s="45">
        <v>4099</v>
      </c>
      <c r="O71" s="46">
        <v>146.93799999999999</v>
      </c>
      <c r="P71" s="47">
        <v>7</v>
      </c>
      <c r="Q71" s="37" t="s">
        <v>0</v>
      </c>
      <c r="R71" s="49">
        <v>9.9760000000000009</v>
      </c>
      <c r="S71" s="49">
        <v>0.44390000000000002</v>
      </c>
      <c r="T71" s="49">
        <v>168</v>
      </c>
      <c r="U71" s="49">
        <v>5.7210000000000001</v>
      </c>
      <c r="V71" s="49">
        <v>2.258</v>
      </c>
      <c r="W71" s="50">
        <v>4.681</v>
      </c>
      <c r="X71" s="51">
        <v>8.5360000000000005E-2</v>
      </c>
      <c r="Y71" s="52">
        <v>-0.13350000000000001</v>
      </c>
      <c r="Z71" s="53">
        <v>-9.2519999999999998E-3</v>
      </c>
      <c r="AA71" s="54">
        <v>0</v>
      </c>
      <c r="AB71" s="54">
        <v>0</v>
      </c>
      <c r="AC71" s="54">
        <v>0</v>
      </c>
      <c r="AD71" s="54">
        <v>0</v>
      </c>
      <c r="AE71" s="54">
        <v>0</v>
      </c>
      <c r="AF71" s="39">
        <v>537</v>
      </c>
      <c r="AG71" s="39">
        <v>502.3</v>
      </c>
    </row>
    <row r="72" spans="1:33" x14ac:dyDescent="0.2">
      <c r="A72" s="37">
        <v>62</v>
      </c>
      <c r="B72" s="38">
        <v>6.7279999999999998</v>
      </c>
      <c r="C72" s="38">
        <v>7.58</v>
      </c>
      <c r="D72" s="39">
        <v>13620</v>
      </c>
      <c r="E72" s="39">
        <v>416.6</v>
      </c>
      <c r="F72" s="40">
        <v>3.9760000000000004E-3</v>
      </c>
      <c r="G72" s="41">
        <v>3.1609999999999999E-2</v>
      </c>
      <c r="H72" s="39">
        <v>1865</v>
      </c>
      <c r="I72" s="42">
        <v>-15.79</v>
      </c>
      <c r="J72" s="42">
        <v>5.5259999999999998</v>
      </c>
      <c r="K72" s="43">
        <v>-0.68779999999999997</v>
      </c>
      <c r="L72" s="40">
        <v>3.6600000000000001E-2</v>
      </c>
      <c r="M72" s="44">
        <v>-7.0770000000000002E-4</v>
      </c>
      <c r="N72" s="45">
        <v>4007</v>
      </c>
      <c r="O72" s="46">
        <v>150.36000000000001</v>
      </c>
      <c r="P72" s="47">
        <v>7.5549999999999997</v>
      </c>
      <c r="Q72" s="37"/>
      <c r="R72" s="49">
        <v>9.8040000000000003</v>
      </c>
      <c r="S72" s="49">
        <v>0.44080000000000003</v>
      </c>
      <c r="T72" s="49">
        <v>176.2</v>
      </c>
      <c r="U72" s="49">
        <v>5.6749999999999998</v>
      </c>
      <c r="V72" s="49">
        <v>1.9970000000000001</v>
      </c>
      <c r="W72" s="50">
        <v>4.6760000000000002</v>
      </c>
      <c r="X72" s="51">
        <v>7.8189999999999996E-2</v>
      </c>
      <c r="Y72" s="52">
        <v>-0.13450000000000001</v>
      </c>
      <c r="Z72" s="53">
        <v>-9.3019999999999995E-3</v>
      </c>
      <c r="AA72" s="54">
        <v>0</v>
      </c>
      <c r="AB72" s="54">
        <v>0</v>
      </c>
      <c r="AC72" s="54">
        <v>0</v>
      </c>
      <c r="AD72" s="54">
        <v>0</v>
      </c>
      <c r="AE72" s="54">
        <v>0</v>
      </c>
      <c r="AF72" s="39">
        <v>545.9</v>
      </c>
      <c r="AG72" s="39">
        <v>515.20000000000005</v>
      </c>
    </row>
    <row r="73" spans="1:33" x14ac:dyDescent="0.2">
      <c r="A73" s="37">
        <v>63</v>
      </c>
      <c r="B73" s="38">
        <v>6.5510000000000002</v>
      </c>
      <c r="C73" s="38">
        <v>7.38</v>
      </c>
      <c r="D73" s="39">
        <v>13820</v>
      </c>
      <c r="E73" s="39">
        <v>419</v>
      </c>
      <c r="F73" s="40">
        <v>3.8769999999999998E-3</v>
      </c>
      <c r="G73" s="41">
        <v>3.2120000000000003E-2</v>
      </c>
      <c r="H73" s="39">
        <v>1819</v>
      </c>
      <c r="I73" s="42">
        <v>-15.13</v>
      </c>
      <c r="J73" s="42">
        <v>5.2380000000000004</v>
      </c>
      <c r="K73" s="43">
        <v>-0.64259999999999995</v>
      </c>
      <c r="L73" s="40">
        <v>3.3570000000000003E-2</v>
      </c>
      <c r="M73" s="44">
        <v>-6.3389999999999996E-4</v>
      </c>
      <c r="N73" s="45">
        <v>3965</v>
      </c>
      <c r="O73" s="46">
        <v>151.96</v>
      </c>
      <c r="P73" s="47">
        <v>5.258</v>
      </c>
      <c r="Q73" s="37"/>
      <c r="R73" s="49">
        <v>14.22</v>
      </c>
      <c r="S73" s="49">
        <v>0.36299999999999999</v>
      </c>
      <c r="T73" s="49">
        <v>228.4</v>
      </c>
      <c r="U73" s="49">
        <v>7.024</v>
      </c>
      <c r="V73" s="49">
        <v>1.016</v>
      </c>
      <c r="W73" s="50">
        <v>4.6630000000000003</v>
      </c>
      <c r="X73" s="51">
        <v>6.8669999999999995E-2</v>
      </c>
      <c r="Y73" s="52">
        <v>-0.1358</v>
      </c>
      <c r="Z73" s="53">
        <v>-9.3729999999999994E-3</v>
      </c>
      <c r="AA73" s="54">
        <v>0</v>
      </c>
      <c r="AB73" s="54">
        <v>0</v>
      </c>
      <c r="AC73" s="54">
        <v>0</v>
      </c>
      <c r="AD73" s="54">
        <v>0</v>
      </c>
      <c r="AE73" s="54">
        <v>0</v>
      </c>
      <c r="AF73" s="39">
        <v>547.5</v>
      </c>
      <c r="AG73" s="39">
        <v>528.4</v>
      </c>
    </row>
    <row r="74" spans="1:33" x14ac:dyDescent="0.2">
      <c r="A74" s="37">
        <v>64</v>
      </c>
      <c r="B74" s="38">
        <v>6.7389999999999999</v>
      </c>
      <c r="C74" s="38">
        <v>7.5919999999999996</v>
      </c>
      <c r="D74" s="39">
        <v>14020</v>
      </c>
      <c r="E74" s="39">
        <v>421.4</v>
      </c>
      <c r="F74" s="40">
        <v>3.8630000000000001E-3</v>
      </c>
      <c r="G74" s="41">
        <v>3.2629999999999999E-2</v>
      </c>
      <c r="H74" s="39">
        <v>1812</v>
      </c>
      <c r="I74" s="42">
        <v>-14.47</v>
      </c>
      <c r="J74" s="42">
        <v>4.95</v>
      </c>
      <c r="K74" s="43">
        <v>-0.59750000000000003</v>
      </c>
      <c r="L74" s="40">
        <v>3.0530000000000002E-2</v>
      </c>
      <c r="M74" s="44">
        <v>-5.6010000000000001E-4</v>
      </c>
      <c r="N74" s="45">
        <v>3831</v>
      </c>
      <c r="O74" s="46">
        <v>157.25</v>
      </c>
      <c r="P74" s="47">
        <v>7.9020000000000001</v>
      </c>
      <c r="Q74" s="37"/>
      <c r="R74" s="49">
        <v>9.952</v>
      </c>
      <c r="S74" s="49">
        <v>0.43180000000000002</v>
      </c>
      <c r="T74" s="49">
        <v>233.5</v>
      </c>
      <c r="U74" s="49">
        <v>5.0650000000000004</v>
      </c>
      <c r="V74" s="49">
        <v>0.9244</v>
      </c>
      <c r="W74" s="50">
        <v>4.6760000000000002</v>
      </c>
      <c r="X74" s="51">
        <v>6.8610000000000004E-2</v>
      </c>
      <c r="Y74" s="52">
        <v>-0.13569999999999999</v>
      </c>
      <c r="Z74" s="53">
        <v>-9.3629999999999998E-3</v>
      </c>
      <c r="AA74" s="54">
        <v>0</v>
      </c>
      <c r="AB74" s="54">
        <v>0</v>
      </c>
      <c r="AC74" s="54">
        <v>0</v>
      </c>
      <c r="AD74" s="54">
        <v>0</v>
      </c>
      <c r="AE74" s="54">
        <v>0</v>
      </c>
      <c r="AF74" s="39">
        <v>567</v>
      </c>
      <c r="AG74" s="39">
        <v>534.4</v>
      </c>
    </row>
    <row r="75" spans="1:33" x14ac:dyDescent="0.2">
      <c r="A75" s="37">
        <v>65</v>
      </c>
      <c r="B75" s="38">
        <v>6.2119999999999997</v>
      </c>
      <c r="C75" s="38">
        <v>6.9960000000000004</v>
      </c>
      <c r="D75" s="39">
        <v>14210</v>
      </c>
      <c r="E75" s="39">
        <v>423.9</v>
      </c>
      <c r="F75" s="40">
        <v>3.725E-3</v>
      </c>
      <c r="G75" s="41">
        <v>3.3140000000000003E-2</v>
      </c>
      <c r="H75" s="39">
        <v>1747</v>
      </c>
      <c r="I75" s="42">
        <v>-14.56</v>
      </c>
      <c r="J75" s="42">
        <v>4.984</v>
      </c>
      <c r="K75" s="43">
        <v>-0.60219999999999996</v>
      </c>
      <c r="L75" s="40">
        <v>3.082E-2</v>
      </c>
      <c r="M75" s="44">
        <v>-5.6680000000000001E-4</v>
      </c>
      <c r="N75" s="45">
        <v>3791</v>
      </c>
      <c r="O75" s="46">
        <v>158.92500000000001</v>
      </c>
      <c r="P75" s="47">
        <v>8.2769999999999992</v>
      </c>
      <c r="Q75" s="37"/>
      <c r="R75" s="49">
        <v>9.2720000000000002</v>
      </c>
      <c r="S75" s="49">
        <v>0.4345</v>
      </c>
      <c r="T75" s="49">
        <v>210</v>
      </c>
      <c r="U75" s="49">
        <v>4.9109999999999996</v>
      </c>
      <c r="V75" s="49">
        <v>1.258</v>
      </c>
      <c r="W75" s="50">
        <v>4.649</v>
      </c>
      <c r="X75" s="51">
        <v>5.3620000000000001E-2</v>
      </c>
      <c r="Y75" s="52">
        <v>-0.13789999999999999</v>
      </c>
      <c r="Z75" s="53">
        <v>-9.4800000000000006E-3</v>
      </c>
      <c r="AA75" s="54">
        <v>0</v>
      </c>
      <c r="AB75" s="54">
        <v>0</v>
      </c>
      <c r="AC75" s="54">
        <v>0</v>
      </c>
      <c r="AD75" s="54">
        <v>0</v>
      </c>
      <c r="AE75" s="54">
        <v>0</v>
      </c>
      <c r="AF75" s="39">
        <v>577.20000000000005</v>
      </c>
      <c r="AG75" s="39">
        <v>555.6</v>
      </c>
    </row>
    <row r="76" spans="1:33" x14ac:dyDescent="0.2">
      <c r="A76" s="37">
        <v>66</v>
      </c>
      <c r="B76" s="38">
        <v>5.5170000000000003</v>
      </c>
      <c r="C76" s="38">
        <v>6.21</v>
      </c>
      <c r="D76" s="39">
        <v>14400</v>
      </c>
      <c r="E76" s="39">
        <v>426.3</v>
      </c>
      <c r="F76" s="40">
        <v>3.6319999999999998E-3</v>
      </c>
      <c r="G76" s="41">
        <v>3.3649999999999999E-2</v>
      </c>
      <c r="H76" s="39">
        <v>1703</v>
      </c>
      <c r="I76" s="42">
        <v>-14.65</v>
      </c>
      <c r="J76" s="42">
        <v>5.0179999999999998</v>
      </c>
      <c r="K76" s="43">
        <v>-0.6069</v>
      </c>
      <c r="L76" s="40">
        <v>3.1109999999999999E-2</v>
      </c>
      <c r="M76" s="44">
        <v>-5.7339999999999995E-4</v>
      </c>
      <c r="N76" s="45">
        <v>3708</v>
      </c>
      <c r="O76" s="46">
        <v>162.5</v>
      </c>
      <c r="P76" s="47">
        <v>8.5530000000000008</v>
      </c>
      <c r="Q76" s="37"/>
      <c r="R76" s="49">
        <v>10.130000000000001</v>
      </c>
      <c r="S76" s="49">
        <v>0.41460000000000002</v>
      </c>
      <c r="T76" s="49">
        <v>225.7</v>
      </c>
      <c r="U76" s="49">
        <v>5.5250000000000004</v>
      </c>
      <c r="V76" s="49">
        <v>1.0549999999999999</v>
      </c>
      <c r="W76" s="50">
        <v>4.6340000000000003</v>
      </c>
      <c r="X76" s="51">
        <v>4.335E-2</v>
      </c>
      <c r="Y76" s="52">
        <v>-0.1394</v>
      </c>
      <c r="Z76" s="53">
        <v>-9.5580000000000005E-3</v>
      </c>
      <c r="AA76" s="54">
        <v>0</v>
      </c>
      <c r="AB76" s="54">
        <v>0</v>
      </c>
      <c r="AC76" s="54">
        <v>0</v>
      </c>
      <c r="AD76" s="54">
        <v>0</v>
      </c>
      <c r="AE76" s="54">
        <v>0</v>
      </c>
      <c r="AF76" s="39">
        <v>578</v>
      </c>
      <c r="AG76" s="39">
        <v>569.5</v>
      </c>
    </row>
    <row r="77" spans="1:33" x14ac:dyDescent="0.2">
      <c r="A77" s="37">
        <v>67</v>
      </c>
      <c r="B77" s="38">
        <v>5.2190000000000003</v>
      </c>
      <c r="C77" s="38">
        <v>5.8739999999999997</v>
      </c>
      <c r="D77" s="39">
        <v>14600</v>
      </c>
      <c r="E77" s="39">
        <v>428.7</v>
      </c>
      <c r="F77" s="40">
        <v>3.4979999999999998E-3</v>
      </c>
      <c r="G77" s="41">
        <v>3.4160000000000003E-2</v>
      </c>
      <c r="H77" s="39">
        <v>1640</v>
      </c>
      <c r="I77" s="42">
        <v>-14.74</v>
      </c>
      <c r="J77" s="42">
        <v>5.0510000000000002</v>
      </c>
      <c r="K77" s="43">
        <v>-0.61170000000000002</v>
      </c>
      <c r="L77" s="40">
        <v>3.141E-2</v>
      </c>
      <c r="M77" s="44">
        <v>-5.8009999999999995E-4</v>
      </c>
      <c r="N77" s="45">
        <v>3653</v>
      </c>
      <c r="O77" s="46">
        <v>164.93</v>
      </c>
      <c r="P77" s="47">
        <v>8.82</v>
      </c>
      <c r="Q77" s="37"/>
      <c r="R77" s="49">
        <v>8.9489999999999998</v>
      </c>
      <c r="S77" s="49">
        <v>0.4304</v>
      </c>
      <c r="T77" s="49">
        <v>213.3</v>
      </c>
      <c r="U77" s="49">
        <v>5.0709999999999997</v>
      </c>
      <c r="V77" s="49">
        <v>1.2210000000000001</v>
      </c>
      <c r="W77" s="50">
        <v>4.6029999999999998</v>
      </c>
      <c r="X77" s="51">
        <v>2.6790000000000001E-2</v>
      </c>
      <c r="Y77" s="52">
        <v>-0.14180000000000001</v>
      </c>
      <c r="Z77" s="53">
        <v>-9.6900000000000007E-3</v>
      </c>
      <c r="AA77" s="54">
        <v>0</v>
      </c>
      <c r="AB77" s="54">
        <v>0</v>
      </c>
      <c r="AC77" s="54">
        <v>0</v>
      </c>
      <c r="AD77" s="54">
        <v>0</v>
      </c>
      <c r="AE77" s="54">
        <v>0</v>
      </c>
      <c r="AF77" s="39">
        <v>611.20000000000005</v>
      </c>
      <c r="AG77" s="39">
        <v>600.6</v>
      </c>
    </row>
    <row r="78" spans="1:33" x14ac:dyDescent="0.2">
      <c r="A78" s="37">
        <v>68</v>
      </c>
      <c r="B78" s="38">
        <v>5.0709999999999997</v>
      </c>
      <c r="C78" s="38">
        <v>5.7060000000000004</v>
      </c>
      <c r="D78" s="39">
        <v>14790</v>
      </c>
      <c r="E78" s="39">
        <v>433</v>
      </c>
      <c r="F78" s="40">
        <v>3.405E-3</v>
      </c>
      <c r="G78" s="41">
        <v>3.4669999999999999E-2</v>
      </c>
      <c r="H78" s="39">
        <v>1597</v>
      </c>
      <c r="I78" s="42">
        <v>-14.83</v>
      </c>
      <c r="J78" s="42">
        <v>5.085</v>
      </c>
      <c r="K78" s="43">
        <v>-0.61639999999999995</v>
      </c>
      <c r="L78" s="40">
        <v>3.1699999999999999E-2</v>
      </c>
      <c r="M78" s="44">
        <v>-5.867E-4</v>
      </c>
      <c r="N78" s="45">
        <v>3602</v>
      </c>
      <c r="O78" s="46">
        <v>167.26</v>
      </c>
      <c r="P78" s="47">
        <v>9.09</v>
      </c>
      <c r="Q78" s="37"/>
      <c r="R78" s="49">
        <v>11.94</v>
      </c>
      <c r="S78" s="49">
        <v>0.37830000000000003</v>
      </c>
      <c r="T78" s="49">
        <v>247.2</v>
      </c>
      <c r="U78" s="49">
        <v>6.6550000000000002</v>
      </c>
      <c r="V78" s="49">
        <v>0.84899999999999998</v>
      </c>
      <c r="W78" s="50">
        <v>4.5839999999999996</v>
      </c>
      <c r="X78" s="51">
        <v>1.494E-2</v>
      </c>
      <c r="Y78" s="52">
        <v>-0.14360000000000001</v>
      </c>
      <c r="Z78" s="53">
        <v>-9.783E-3</v>
      </c>
      <c r="AA78" s="54">
        <v>0</v>
      </c>
      <c r="AB78" s="54">
        <v>0</v>
      </c>
      <c r="AC78" s="54">
        <v>0</v>
      </c>
      <c r="AD78" s="54">
        <v>0</v>
      </c>
      <c r="AE78" s="54">
        <v>0</v>
      </c>
      <c r="AF78" s="39">
        <v>583.29999999999995</v>
      </c>
      <c r="AG78" s="39">
        <v>598.4</v>
      </c>
    </row>
    <row r="79" spans="1:33" x14ac:dyDescent="0.2">
      <c r="A79" s="37">
        <v>69</v>
      </c>
      <c r="B79" s="38">
        <v>4.9260000000000002</v>
      </c>
      <c r="C79" s="38">
        <v>5.5419999999999998</v>
      </c>
      <c r="D79" s="39">
        <v>14980</v>
      </c>
      <c r="E79" s="39">
        <v>433.5</v>
      </c>
      <c r="F79" s="40">
        <v>3.3419999999999999E-3</v>
      </c>
      <c r="G79" s="41">
        <v>3.5180000000000003E-2</v>
      </c>
      <c r="H79" s="39">
        <v>1567</v>
      </c>
      <c r="I79" s="42">
        <v>-14.91</v>
      </c>
      <c r="J79" s="42">
        <v>5.1189999999999998</v>
      </c>
      <c r="K79" s="43">
        <v>-0.62109999999999999</v>
      </c>
      <c r="L79" s="40">
        <v>3.1989999999999998E-2</v>
      </c>
      <c r="M79" s="44">
        <v>-5.9329999999999995E-4</v>
      </c>
      <c r="N79" s="45">
        <v>3567</v>
      </c>
      <c r="O79" s="46">
        <v>168.934</v>
      </c>
      <c r="P79" s="47">
        <v>9.3330000000000002</v>
      </c>
      <c r="Q79" s="37"/>
      <c r="R79" s="49">
        <v>8.4719999999999995</v>
      </c>
      <c r="S79" s="49">
        <v>0.4405</v>
      </c>
      <c r="T79" s="49">
        <v>195.5</v>
      </c>
      <c r="U79" s="49">
        <v>4.0510000000000002</v>
      </c>
      <c r="V79" s="49">
        <v>1.6040000000000001</v>
      </c>
      <c r="W79" s="50">
        <v>4.5759999999999996</v>
      </c>
      <c r="X79" s="51">
        <v>7.0429999999999998E-3</v>
      </c>
      <c r="Y79" s="52">
        <v>-0.1447</v>
      </c>
      <c r="Z79" s="53">
        <v>-9.8410000000000008E-3</v>
      </c>
      <c r="AA79" s="54">
        <v>0</v>
      </c>
      <c r="AB79" s="54">
        <v>0</v>
      </c>
      <c r="AC79" s="54">
        <v>0</v>
      </c>
      <c r="AD79" s="54">
        <v>0</v>
      </c>
      <c r="AE79" s="54">
        <v>0</v>
      </c>
      <c r="AF79" s="39">
        <v>629.20000000000005</v>
      </c>
      <c r="AG79" s="39">
        <v>613.4</v>
      </c>
    </row>
    <row r="80" spans="1:33" x14ac:dyDescent="0.2">
      <c r="A80" s="37">
        <v>70</v>
      </c>
      <c r="B80" s="38">
        <v>4.7869999999999999</v>
      </c>
      <c r="C80" s="38">
        <v>5.3860000000000001</v>
      </c>
      <c r="D80" s="39">
        <v>15170</v>
      </c>
      <c r="E80" s="39">
        <v>435.9</v>
      </c>
      <c r="F80" s="40">
        <v>3.2919999999999998E-3</v>
      </c>
      <c r="G80" s="41">
        <v>3.569E-2</v>
      </c>
      <c r="H80" s="39">
        <v>1544</v>
      </c>
      <c r="I80" s="42">
        <v>-15</v>
      </c>
      <c r="J80" s="42">
        <v>5.1529999999999996</v>
      </c>
      <c r="K80" s="43">
        <v>-0.62580000000000002</v>
      </c>
      <c r="L80" s="40">
        <v>3.2280000000000003E-2</v>
      </c>
      <c r="M80" s="44">
        <v>-5.9999999999999995E-4</v>
      </c>
      <c r="N80" s="45">
        <v>3482</v>
      </c>
      <c r="O80" s="46">
        <v>173.04</v>
      </c>
      <c r="P80" s="47">
        <v>6.9770000000000003</v>
      </c>
      <c r="Q80" s="37"/>
      <c r="R80" s="49">
        <v>8.3010000000000002</v>
      </c>
      <c r="S80" s="49">
        <v>0.43990000000000001</v>
      </c>
      <c r="T80" s="49">
        <v>203.7</v>
      </c>
      <c r="U80" s="49">
        <v>3.6669999999999998</v>
      </c>
      <c r="V80" s="49">
        <v>1.4590000000000001</v>
      </c>
      <c r="W80" s="50">
        <v>4.5709999999999997</v>
      </c>
      <c r="X80" s="51">
        <v>7.046E-4</v>
      </c>
      <c r="Y80" s="52">
        <v>-0.14560000000000001</v>
      </c>
      <c r="Z80" s="53">
        <v>-9.8860000000000007E-3</v>
      </c>
      <c r="AA80" s="54">
        <v>0</v>
      </c>
      <c r="AB80" s="54">
        <v>0</v>
      </c>
      <c r="AC80" s="54">
        <v>0</v>
      </c>
      <c r="AD80" s="54">
        <v>0</v>
      </c>
      <c r="AE80" s="54">
        <v>0</v>
      </c>
      <c r="AF80" s="39">
        <v>637</v>
      </c>
      <c r="AG80" s="39">
        <v>627.4</v>
      </c>
    </row>
    <row r="81" spans="1:33" x14ac:dyDescent="0.2">
      <c r="A81" s="37">
        <v>71</v>
      </c>
      <c r="B81" s="38">
        <v>4.8929999999999998</v>
      </c>
      <c r="C81" s="38">
        <v>5.5049999999999999</v>
      </c>
      <c r="D81" s="39">
        <v>15360</v>
      </c>
      <c r="E81" s="39">
        <v>438.4</v>
      </c>
      <c r="F81" s="40">
        <v>3.2429999999999998E-3</v>
      </c>
      <c r="G81" s="41">
        <v>3.6200000000000003E-2</v>
      </c>
      <c r="H81" s="39">
        <v>1521</v>
      </c>
      <c r="I81" s="42">
        <v>-15.09</v>
      </c>
      <c r="J81" s="42">
        <v>5.1859999999999999</v>
      </c>
      <c r="K81" s="43">
        <v>-0.63049999999999995</v>
      </c>
      <c r="L81" s="40">
        <v>3.2570000000000002E-2</v>
      </c>
      <c r="M81" s="44">
        <v>-6.066E-4</v>
      </c>
      <c r="N81" s="45">
        <v>3443</v>
      </c>
      <c r="O81" s="46">
        <v>174.96700000000001</v>
      </c>
      <c r="P81" s="47">
        <v>9.83</v>
      </c>
      <c r="Q81" s="37"/>
      <c r="R81" s="49">
        <v>6.5670000000000002</v>
      </c>
      <c r="S81" s="49">
        <v>0.48580000000000001</v>
      </c>
      <c r="T81" s="49">
        <v>193</v>
      </c>
      <c r="U81" s="49">
        <v>2.65</v>
      </c>
      <c r="V81" s="49">
        <v>1.66</v>
      </c>
      <c r="W81" s="50">
        <v>4.5659999999999998</v>
      </c>
      <c r="X81" s="51">
        <v>-5.6259999999999999E-3</v>
      </c>
      <c r="Y81" s="52">
        <v>-0.1464</v>
      </c>
      <c r="Z81" s="53">
        <v>-9.9299999999999996E-3</v>
      </c>
      <c r="AA81" s="54">
        <v>0</v>
      </c>
      <c r="AB81" s="54">
        <v>0</v>
      </c>
      <c r="AC81" s="54">
        <v>0</v>
      </c>
      <c r="AD81" s="54">
        <v>0</v>
      </c>
      <c r="AE81" s="54">
        <v>0</v>
      </c>
      <c r="AF81" s="39">
        <v>655.1</v>
      </c>
      <c r="AG81" s="39">
        <v>634.9</v>
      </c>
    </row>
    <row r="82" spans="1:33" x14ac:dyDescent="0.2">
      <c r="A82" s="37">
        <v>72</v>
      </c>
      <c r="B82" s="38">
        <v>5.0279999999999996</v>
      </c>
      <c r="C82" s="38">
        <v>5.657</v>
      </c>
      <c r="D82" s="39">
        <v>15550</v>
      </c>
      <c r="E82" s="39">
        <v>440.8</v>
      </c>
      <c r="F82" s="40">
        <v>3.1949999999999999E-3</v>
      </c>
      <c r="G82" s="41">
        <v>3.671E-2</v>
      </c>
      <c r="H82" s="39">
        <v>1499</v>
      </c>
      <c r="I82" s="42">
        <v>-15.18</v>
      </c>
      <c r="J82" s="42">
        <v>5.22</v>
      </c>
      <c r="K82" s="43">
        <v>-0.63529999999999998</v>
      </c>
      <c r="L82" s="40">
        <v>3.286E-2</v>
      </c>
      <c r="M82" s="44">
        <v>-6.133E-4</v>
      </c>
      <c r="N82" s="45">
        <v>3376</v>
      </c>
      <c r="O82" s="46">
        <v>178.49</v>
      </c>
      <c r="P82" s="47">
        <v>13.12</v>
      </c>
      <c r="Q82" s="37"/>
      <c r="R82" s="49">
        <v>5.9509999999999996</v>
      </c>
      <c r="S82" s="49">
        <v>0.50160000000000005</v>
      </c>
      <c r="T82" s="49">
        <v>196.1</v>
      </c>
      <c r="U82" s="49">
        <v>2.6619999999999999</v>
      </c>
      <c r="V82" s="49">
        <v>1.589</v>
      </c>
      <c r="W82" s="50">
        <v>4.5609999999999999</v>
      </c>
      <c r="X82" s="51">
        <v>-1.197E-2</v>
      </c>
      <c r="Y82" s="52">
        <v>-0.14729999999999999</v>
      </c>
      <c r="Z82" s="53">
        <v>-9.9749999999999995E-3</v>
      </c>
      <c r="AA82" s="54">
        <v>0</v>
      </c>
      <c r="AB82" s="54">
        <v>0</v>
      </c>
      <c r="AC82" s="54">
        <v>0</v>
      </c>
      <c r="AD82" s="54">
        <v>0</v>
      </c>
      <c r="AE82" s="54">
        <v>0</v>
      </c>
      <c r="AF82" s="39">
        <v>662.1</v>
      </c>
      <c r="AG82" s="39">
        <v>642.70000000000005</v>
      </c>
    </row>
    <row r="83" spans="1:33" x14ac:dyDescent="0.2">
      <c r="A83" s="37">
        <v>73</v>
      </c>
      <c r="B83" s="38">
        <v>4.7380000000000004</v>
      </c>
      <c r="C83" s="38">
        <v>5.3289999999999997</v>
      </c>
      <c r="D83" s="39">
        <v>15740</v>
      </c>
      <c r="E83" s="39">
        <v>443.2</v>
      </c>
      <c r="F83" s="40">
        <v>3.186E-3</v>
      </c>
      <c r="G83" s="41">
        <v>3.7220000000000003E-2</v>
      </c>
      <c r="H83" s="39">
        <v>1494</v>
      </c>
      <c r="I83" s="42">
        <v>-15.27</v>
      </c>
      <c r="J83" s="42">
        <v>5.2539999999999996</v>
      </c>
      <c r="K83" s="43">
        <v>-0.64</v>
      </c>
      <c r="L83" s="40">
        <v>3.3149999999999999E-2</v>
      </c>
      <c r="M83" s="44">
        <v>-6.1990000000000005E-4</v>
      </c>
      <c r="N83" s="45">
        <v>3330</v>
      </c>
      <c r="O83" s="46">
        <v>180.94800000000001</v>
      </c>
      <c r="P83" s="47">
        <v>16.600000000000001</v>
      </c>
      <c r="Q83" s="37"/>
      <c r="R83" s="49">
        <v>7.4950000000000001</v>
      </c>
      <c r="S83" s="49">
        <v>0.45229999999999998</v>
      </c>
      <c r="T83" s="49">
        <v>251.4</v>
      </c>
      <c r="U83" s="49">
        <v>3.4329999999999998</v>
      </c>
      <c r="V83" s="49">
        <v>0.8619</v>
      </c>
      <c r="W83" s="50">
        <v>4.5720000000000001</v>
      </c>
      <c r="X83" s="51">
        <v>-1.2E-2</v>
      </c>
      <c r="Y83" s="52">
        <v>-0.1472</v>
      </c>
      <c r="Z83" s="53">
        <v>-9.9649999999999999E-3</v>
      </c>
      <c r="AA83" s="54">
        <v>0</v>
      </c>
      <c r="AB83" s="54">
        <v>0</v>
      </c>
      <c r="AC83" s="54">
        <v>0</v>
      </c>
      <c r="AD83" s="54">
        <v>0</v>
      </c>
      <c r="AE83" s="54">
        <v>0</v>
      </c>
      <c r="AF83" s="39">
        <v>682</v>
      </c>
      <c r="AG83" s="39">
        <v>651.4</v>
      </c>
    </row>
    <row r="84" spans="1:33" x14ac:dyDescent="0.2">
      <c r="A84" s="37">
        <v>74</v>
      </c>
      <c r="B84" s="38">
        <v>4.5739999999999998</v>
      </c>
      <c r="C84" s="38">
        <v>5.1440000000000001</v>
      </c>
      <c r="D84" s="39">
        <v>15930</v>
      </c>
      <c r="E84" s="39">
        <v>442.4</v>
      </c>
      <c r="F84" s="40">
        <v>3.1440000000000001E-3</v>
      </c>
      <c r="G84" s="41">
        <v>3.773E-2</v>
      </c>
      <c r="H84" s="39">
        <v>1475</v>
      </c>
      <c r="I84" s="42">
        <v>-15.67</v>
      </c>
      <c r="J84" s="42">
        <v>5.3920000000000003</v>
      </c>
      <c r="K84" s="43">
        <v>-0.65769999999999995</v>
      </c>
      <c r="L84" s="40">
        <v>3.4180000000000002E-2</v>
      </c>
      <c r="M84" s="44">
        <v>-6.4260000000000001E-4</v>
      </c>
      <c r="N84" s="45">
        <v>3277</v>
      </c>
      <c r="O84" s="46">
        <v>183.85</v>
      </c>
      <c r="P84" s="47">
        <v>19.29</v>
      </c>
      <c r="Q84" s="37"/>
      <c r="R84" s="49">
        <v>6.335</v>
      </c>
      <c r="S84" s="49">
        <v>0.48249999999999998</v>
      </c>
      <c r="T84" s="49">
        <v>255.1</v>
      </c>
      <c r="U84" s="49">
        <v>2.8340000000000001</v>
      </c>
      <c r="V84" s="49">
        <v>0.82279999999999998</v>
      </c>
      <c r="W84" s="50">
        <v>4.569</v>
      </c>
      <c r="X84" s="51">
        <v>-1.755E-2</v>
      </c>
      <c r="Y84" s="52">
        <v>-0.14799999999999999</v>
      </c>
      <c r="Z84" s="53">
        <v>-0.01</v>
      </c>
      <c r="AA84" s="54">
        <v>0</v>
      </c>
      <c r="AB84" s="54">
        <v>0</v>
      </c>
      <c r="AC84" s="54">
        <v>0</v>
      </c>
      <c r="AD84" s="54">
        <v>0</v>
      </c>
      <c r="AE84" s="54">
        <v>0</v>
      </c>
      <c r="AF84" s="39">
        <v>695</v>
      </c>
      <c r="AG84" s="39">
        <v>660.3</v>
      </c>
    </row>
    <row r="85" spans="1:33" x14ac:dyDescent="0.2">
      <c r="A85" s="37">
        <v>75</v>
      </c>
      <c r="B85" s="38">
        <v>5.2</v>
      </c>
      <c r="C85" s="38">
        <v>5.851</v>
      </c>
      <c r="D85" s="39">
        <v>16120</v>
      </c>
      <c r="E85" s="39">
        <v>441.6</v>
      </c>
      <c r="F85" s="40">
        <v>3.1220000000000002E-3</v>
      </c>
      <c r="G85" s="41">
        <v>3.8240000000000003E-2</v>
      </c>
      <c r="H85" s="39">
        <v>1464</v>
      </c>
      <c r="I85" s="42">
        <v>-16.07</v>
      </c>
      <c r="J85" s="42">
        <v>5.5289999999999999</v>
      </c>
      <c r="K85" s="43">
        <v>-0.67549999999999999</v>
      </c>
      <c r="L85" s="40">
        <v>3.5209999999999998E-2</v>
      </c>
      <c r="M85" s="44">
        <v>-6.6540000000000002E-4</v>
      </c>
      <c r="N85" s="45">
        <v>3236</v>
      </c>
      <c r="O85" s="46">
        <v>186.20699999999999</v>
      </c>
      <c r="P85" s="47">
        <v>21.04</v>
      </c>
      <c r="Q85" s="37"/>
      <c r="R85" s="49">
        <v>4.3140000000000001</v>
      </c>
      <c r="S85" s="49">
        <v>0.55579999999999996</v>
      </c>
      <c r="T85" s="49">
        <v>214.8</v>
      </c>
      <c r="U85" s="49">
        <v>2.3540000000000001</v>
      </c>
      <c r="V85" s="49">
        <v>1.2629999999999999</v>
      </c>
      <c r="W85" s="50">
        <v>4.5730000000000004</v>
      </c>
      <c r="X85" s="51">
        <v>-1.992E-2</v>
      </c>
      <c r="Y85" s="52">
        <v>-0.1482</v>
      </c>
      <c r="Z85" s="53">
        <v>-1.001E-2</v>
      </c>
      <c r="AA85" s="54">
        <v>0</v>
      </c>
      <c r="AB85" s="54">
        <v>0</v>
      </c>
      <c r="AC85" s="54">
        <v>0</v>
      </c>
      <c r="AD85" s="54">
        <v>0</v>
      </c>
      <c r="AE85" s="54">
        <v>0</v>
      </c>
      <c r="AF85" s="39">
        <v>713.6</v>
      </c>
      <c r="AG85" s="39">
        <v>669.2</v>
      </c>
    </row>
    <row r="86" spans="1:33" x14ac:dyDescent="0.2">
      <c r="A86" s="37">
        <v>76</v>
      </c>
      <c r="B86" s="38">
        <v>5.07</v>
      </c>
      <c r="C86" s="38">
        <v>5.7039999999999997</v>
      </c>
      <c r="D86" s="39">
        <v>16300</v>
      </c>
      <c r="E86" s="39">
        <v>440.9</v>
      </c>
      <c r="F86" s="40">
        <v>3.0820000000000001E-3</v>
      </c>
      <c r="G86" s="41">
        <v>3.875E-2</v>
      </c>
      <c r="H86" s="39">
        <v>1446</v>
      </c>
      <c r="I86" s="42">
        <v>-16.47</v>
      </c>
      <c r="J86" s="42">
        <v>5.6669999999999998</v>
      </c>
      <c r="K86" s="43">
        <v>-0.69320000000000004</v>
      </c>
      <c r="L86" s="40">
        <v>3.6240000000000001E-2</v>
      </c>
      <c r="M86" s="44">
        <v>-6.8809999999999997E-4</v>
      </c>
      <c r="N86" s="45">
        <v>3168</v>
      </c>
      <c r="O86" s="46">
        <v>190.2</v>
      </c>
      <c r="P86" s="47">
        <v>22.56</v>
      </c>
      <c r="Q86" s="37"/>
      <c r="R86" s="49">
        <v>4.0199999999999996</v>
      </c>
      <c r="S86" s="49">
        <v>0.56810000000000005</v>
      </c>
      <c r="T86" s="49">
        <v>219.9</v>
      </c>
      <c r="U86" s="49">
        <v>2.4020000000000001</v>
      </c>
      <c r="V86" s="49">
        <v>1.1910000000000001</v>
      </c>
      <c r="W86" s="50">
        <v>4.57</v>
      </c>
      <c r="X86" s="51">
        <v>-2.547E-2</v>
      </c>
      <c r="Y86" s="52">
        <v>-0.14899999999999999</v>
      </c>
      <c r="Z86" s="53">
        <v>-1.005E-2</v>
      </c>
      <c r="AA86" s="54">
        <v>0</v>
      </c>
      <c r="AB86" s="54">
        <v>0</v>
      </c>
      <c r="AC86" s="54">
        <v>0</v>
      </c>
      <c r="AD86" s="54">
        <v>0</v>
      </c>
      <c r="AE86" s="54">
        <v>0</v>
      </c>
      <c r="AF86" s="39">
        <v>726.6</v>
      </c>
      <c r="AG86" s="39">
        <v>678.8</v>
      </c>
    </row>
    <row r="87" spans="1:33" x14ac:dyDescent="0.2">
      <c r="A87" s="37">
        <v>77</v>
      </c>
      <c r="B87" s="38">
        <v>4.9450000000000003</v>
      </c>
      <c r="C87" s="38">
        <v>5.5629999999999997</v>
      </c>
      <c r="D87" s="39">
        <v>16490</v>
      </c>
      <c r="E87" s="39">
        <v>440.1</v>
      </c>
      <c r="F87" s="40">
        <v>2.9650000000000002E-3</v>
      </c>
      <c r="G87" s="41">
        <v>3.9260000000000003E-2</v>
      </c>
      <c r="H87" s="39">
        <v>1390</v>
      </c>
      <c r="I87" s="42">
        <v>-16.88</v>
      </c>
      <c r="J87" s="42">
        <v>5.8040000000000003</v>
      </c>
      <c r="K87" s="43">
        <v>-0.71099999999999997</v>
      </c>
      <c r="L87" s="40">
        <v>3.7269999999999998E-2</v>
      </c>
      <c r="M87" s="44">
        <v>-7.1089999999999999E-4</v>
      </c>
      <c r="N87" s="45">
        <v>3135</v>
      </c>
      <c r="O87" s="46">
        <v>192.22</v>
      </c>
      <c r="P87" s="47">
        <v>22.51</v>
      </c>
      <c r="Q87" s="37"/>
      <c r="R87" s="49">
        <v>3.8359999999999999</v>
      </c>
      <c r="S87" s="49">
        <v>0.57650000000000001</v>
      </c>
      <c r="T87" s="49">
        <v>210.2</v>
      </c>
      <c r="U87" s="49">
        <v>2.742</v>
      </c>
      <c r="V87" s="49">
        <v>1.3049999999999999</v>
      </c>
      <c r="W87" s="50">
        <v>4.5279999999999996</v>
      </c>
      <c r="X87" s="51">
        <v>-4.6129999999999997E-2</v>
      </c>
      <c r="Y87" s="52">
        <v>-0.15210000000000001</v>
      </c>
      <c r="Z87" s="53">
        <v>-1.022E-2</v>
      </c>
      <c r="AA87" s="54">
        <v>0</v>
      </c>
      <c r="AB87" s="54">
        <v>0</v>
      </c>
      <c r="AC87" s="54">
        <v>0</v>
      </c>
      <c r="AD87" s="54">
        <v>0</v>
      </c>
      <c r="AE87" s="54">
        <v>0</v>
      </c>
      <c r="AF87" s="39">
        <v>743.7</v>
      </c>
      <c r="AG87" s="39">
        <v>688.9</v>
      </c>
    </row>
    <row r="88" spans="1:33" x14ac:dyDescent="0.2">
      <c r="A88" s="37">
        <v>78</v>
      </c>
      <c r="B88" s="38">
        <v>4.476</v>
      </c>
      <c r="C88" s="38">
        <v>5.0339999999999998</v>
      </c>
      <c r="D88" s="39">
        <v>16670</v>
      </c>
      <c r="E88" s="39">
        <v>439.3</v>
      </c>
      <c r="F88" s="40">
        <v>2.8709999999999999E-3</v>
      </c>
      <c r="G88" s="41">
        <v>3.977E-2</v>
      </c>
      <c r="H88" s="39">
        <v>1347</v>
      </c>
      <c r="I88" s="42">
        <v>-17.28</v>
      </c>
      <c r="J88" s="42">
        <v>5.9420000000000002</v>
      </c>
      <c r="K88" s="43">
        <v>-0.72870000000000001</v>
      </c>
      <c r="L88" s="40">
        <v>3.8300000000000001E-2</v>
      </c>
      <c r="M88" s="44">
        <v>-7.3360000000000005E-4</v>
      </c>
      <c r="N88" s="45">
        <v>3088</v>
      </c>
      <c r="O88" s="46">
        <v>195.08</v>
      </c>
      <c r="P88" s="47">
        <v>21.44</v>
      </c>
      <c r="Q88" s="37"/>
      <c r="R88" s="49">
        <v>4.68</v>
      </c>
      <c r="S88" s="49">
        <v>0.52470000000000006</v>
      </c>
      <c r="T88" s="49">
        <v>244.7</v>
      </c>
      <c r="U88" s="49">
        <v>2.7490000000000001</v>
      </c>
      <c r="V88" s="49">
        <v>0.8962</v>
      </c>
      <c r="W88" s="50">
        <v>4.4939999999999998</v>
      </c>
      <c r="X88" s="51">
        <v>-6.3700000000000007E-2</v>
      </c>
      <c r="Y88" s="52">
        <v>-0.15479999999999999</v>
      </c>
      <c r="Z88" s="53">
        <v>-1.0370000000000001E-2</v>
      </c>
      <c r="AA88" s="54">
        <v>0</v>
      </c>
      <c r="AB88" s="54">
        <v>0</v>
      </c>
      <c r="AC88" s="54">
        <v>0</v>
      </c>
      <c r="AD88" s="54">
        <v>0</v>
      </c>
      <c r="AE88" s="54">
        <v>0</v>
      </c>
      <c r="AF88" s="39">
        <v>760</v>
      </c>
      <c r="AG88" s="39">
        <v>707.4</v>
      </c>
    </row>
    <row r="89" spans="1:33" x14ac:dyDescent="0.2">
      <c r="A89" s="37">
        <v>79</v>
      </c>
      <c r="B89" s="38">
        <v>4.8559999999999999</v>
      </c>
      <c r="C89" s="38">
        <v>5.46</v>
      </c>
      <c r="D89" s="39">
        <v>18320</v>
      </c>
      <c r="E89" s="39">
        <v>438.5</v>
      </c>
      <c r="F89" s="40">
        <v>2.542E-3</v>
      </c>
      <c r="G89" s="41">
        <v>4.0280000000000003E-2</v>
      </c>
      <c r="H89" s="39">
        <v>1354</v>
      </c>
      <c r="I89" s="42">
        <v>-17.02</v>
      </c>
      <c r="J89" s="42">
        <v>5.8460000000000001</v>
      </c>
      <c r="K89" s="43">
        <v>-0.71489999999999998</v>
      </c>
      <c r="L89" s="40">
        <v>3.7400000000000003E-2</v>
      </c>
      <c r="M89" s="44">
        <v>-7.1140000000000005E-4</v>
      </c>
      <c r="N89" s="45">
        <v>3059</v>
      </c>
      <c r="O89" s="46">
        <v>196.96600000000001</v>
      </c>
      <c r="P89" s="47">
        <v>19.309999999999999</v>
      </c>
      <c r="Q89" s="37"/>
      <c r="R89" s="49">
        <v>3.2229999999999999</v>
      </c>
      <c r="S89" s="49">
        <v>0.58830000000000005</v>
      </c>
      <c r="T89" s="49">
        <v>232.7</v>
      </c>
      <c r="U89" s="49">
        <v>2.9540000000000002</v>
      </c>
      <c r="V89" s="49">
        <v>1.05</v>
      </c>
      <c r="W89" s="50">
        <v>4.5640000000000001</v>
      </c>
      <c r="X89" s="51">
        <v>-2.7E-2</v>
      </c>
      <c r="Y89" s="52">
        <v>-0.14710000000000001</v>
      </c>
      <c r="Z89" s="53">
        <v>-9.8519999999999996E-3</v>
      </c>
      <c r="AA89" s="54">
        <v>0</v>
      </c>
      <c r="AB89" s="54">
        <v>0</v>
      </c>
      <c r="AC89" s="54">
        <v>0</v>
      </c>
      <c r="AD89" s="54">
        <v>0</v>
      </c>
      <c r="AE89" s="54">
        <v>0</v>
      </c>
      <c r="AF89" s="39">
        <v>742</v>
      </c>
      <c r="AG89" s="39">
        <v>717.6</v>
      </c>
    </row>
    <row r="90" spans="1:33" x14ac:dyDescent="0.2">
      <c r="A90" s="37">
        <v>80</v>
      </c>
      <c r="B90" s="38">
        <v>4.3079999999999998</v>
      </c>
      <c r="C90" s="38">
        <v>4.843</v>
      </c>
      <c r="D90" s="39">
        <v>17040</v>
      </c>
      <c r="E90" s="39">
        <v>487.8</v>
      </c>
      <c r="F90" s="40">
        <v>2.882E-3</v>
      </c>
      <c r="G90" s="41">
        <v>4.079E-2</v>
      </c>
      <c r="H90" s="39">
        <v>1352</v>
      </c>
      <c r="I90" s="42">
        <v>-17.84</v>
      </c>
      <c r="J90" s="42">
        <v>6.1829999999999998</v>
      </c>
      <c r="K90" s="43">
        <v>-0.76590000000000003</v>
      </c>
      <c r="L90" s="40">
        <v>4.0759999999999998E-2</v>
      </c>
      <c r="M90" s="44">
        <v>-7.9250000000000002E-4</v>
      </c>
      <c r="N90" s="45">
        <v>3004</v>
      </c>
      <c r="O90" s="46">
        <v>200.59</v>
      </c>
      <c r="P90" s="47">
        <v>13.55</v>
      </c>
      <c r="Q90" s="37"/>
      <c r="R90" s="49">
        <v>2.8919999999999999</v>
      </c>
      <c r="S90" s="49">
        <v>0.62039999999999995</v>
      </c>
      <c r="T90" s="49">
        <v>208.6</v>
      </c>
      <c r="U90" s="49">
        <v>2.415</v>
      </c>
      <c r="V90" s="49">
        <v>1.4159999999999999</v>
      </c>
      <c r="W90" s="50">
        <v>4.5460000000000003</v>
      </c>
      <c r="X90" s="51">
        <v>-4.9630000000000001E-2</v>
      </c>
      <c r="Y90" s="52">
        <v>-0.15229999999999999</v>
      </c>
      <c r="Z90" s="53">
        <v>-1.022E-2</v>
      </c>
      <c r="AA90" s="54">
        <v>8.15</v>
      </c>
      <c r="AB90" s="54">
        <v>0.47570000000000001</v>
      </c>
      <c r="AC90" s="54">
        <v>269.2</v>
      </c>
      <c r="AD90" s="54">
        <v>2.3919999999999999</v>
      </c>
      <c r="AE90" s="54">
        <v>0.74670000000000003</v>
      </c>
      <c r="AF90" s="39">
        <v>768.4</v>
      </c>
      <c r="AG90" s="39">
        <v>720.4</v>
      </c>
    </row>
    <row r="91" spans="1:33" x14ac:dyDescent="0.2">
      <c r="A91" s="37">
        <v>81</v>
      </c>
      <c r="B91" s="38">
        <v>4.7229999999999999</v>
      </c>
      <c r="C91" s="38">
        <v>5.3109999999999999</v>
      </c>
      <c r="D91" s="39">
        <v>17220</v>
      </c>
      <c r="E91" s="39">
        <v>537</v>
      </c>
      <c r="F91" s="40">
        <v>2.9129999999999998E-3</v>
      </c>
      <c r="G91" s="41">
        <v>4.1300000000000003E-2</v>
      </c>
      <c r="H91" s="39">
        <v>1366</v>
      </c>
      <c r="I91" s="42">
        <v>-18.66</v>
      </c>
      <c r="J91" s="42">
        <v>6.52</v>
      </c>
      <c r="K91" s="43">
        <v>-0.81689999999999996</v>
      </c>
      <c r="L91" s="40">
        <v>4.4110000000000003E-2</v>
      </c>
      <c r="M91" s="44">
        <v>-8.7370000000000004E-4</v>
      </c>
      <c r="N91" s="45">
        <v>2948</v>
      </c>
      <c r="O91" s="46">
        <v>204.38300000000001</v>
      </c>
      <c r="P91" s="47">
        <v>11.88</v>
      </c>
      <c r="Q91" s="37"/>
      <c r="R91" s="49">
        <v>4.7279999999999998</v>
      </c>
      <c r="S91" s="49">
        <v>0.55220000000000002</v>
      </c>
      <c r="T91" s="49">
        <v>217</v>
      </c>
      <c r="U91" s="49">
        <v>3.0910000000000002</v>
      </c>
      <c r="V91" s="49">
        <v>1.3859999999999999</v>
      </c>
      <c r="W91" s="50">
        <v>4.5940000000000003</v>
      </c>
      <c r="X91" s="51">
        <v>-3.3390000000000003E-2</v>
      </c>
      <c r="Y91" s="52">
        <v>-0.14960000000000001</v>
      </c>
      <c r="Z91" s="53">
        <v>-1.0059999999999999E-2</v>
      </c>
      <c r="AA91" s="54">
        <v>0</v>
      </c>
      <c r="AB91" s="54">
        <v>0</v>
      </c>
      <c r="AC91" s="54">
        <v>0</v>
      </c>
      <c r="AD91" s="54">
        <v>0</v>
      </c>
      <c r="AE91" s="54">
        <v>0</v>
      </c>
      <c r="AF91" s="39">
        <v>764.8</v>
      </c>
      <c r="AG91" s="39">
        <v>718.2</v>
      </c>
    </row>
    <row r="92" spans="1:33" x14ac:dyDescent="0.2">
      <c r="A92" s="37">
        <v>82</v>
      </c>
      <c r="B92" s="38">
        <v>5.319</v>
      </c>
      <c r="C92" s="38">
        <v>5.9820000000000002</v>
      </c>
      <c r="D92" s="39">
        <v>17400</v>
      </c>
      <c r="E92" s="39">
        <v>586.29999999999995</v>
      </c>
      <c r="F92" s="40">
        <v>2.8709999999999999E-3</v>
      </c>
      <c r="G92" s="41">
        <v>4.181E-2</v>
      </c>
      <c r="H92" s="39">
        <v>1347</v>
      </c>
      <c r="I92" s="42">
        <v>-19.48</v>
      </c>
      <c r="J92" s="42">
        <v>6.8570000000000002</v>
      </c>
      <c r="K92" s="43">
        <v>-0.86780000000000002</v>
      </c>
      <c r="L92" s="40">
        <v>4.7469999999999998E-2</v>
      </c>
      <c r="M92" s="44">
        <v>-9.5480000000000001E-4</v>
      </c>
      <c r="N92" s="45">
        <v>2908</v>
      </c>
      <c r="O92" s="46">
        <v>207.2</v>
      </c>
      <c r="P92" s="47">
        <v>11.32</v>
      </c>
      <c r="Q92" s="37"/>
      <c r="R92" s="49">
        <v>6.18</v>
      </c>
      <c r="S92" s="49">
        <v>0.52</v>
      </c>
      <c r="T92" s="49">
        <v>170</v>
      </c>
      <c r="U92" s="49">
        <v>4</v>
      </c>
      <c r="V92" s="49">
        <v>3.2240000000000002</v>
      </c>
      <c r="W92" s="50">
        <v>4.6079999999999997</v>
      </c>
      <c r="X92" s="51">
        <v>-2.886E-2</v>
      </c>
      <c r="Y92" s="52">
        <v>-0.14849999999999999</v>
      </c>
      <c r="Z92" s="53">
        <v>-9.9900000000000006E-3</v>
      </c>
      <c r="AA92" s="54">
        <v>0</v>
      </c>
      <c r="AB92" s="54">
        <v>0</v>
      </c>
      <c r="AC92" s="54">
        <v>0</v>
      </c>
      <c r="AD92" s="54">
        <v>0</v>
      </c>
      <c r="AE92" s="54">
        <v>0</v>
      </c>
      <c r="AF92" s="39">
        <v>761</v>
      </c>
      <c r="AG92" s="39">
        <v>720.3</v>
      </c>
    </row>
    <row r="93" spans="1:33" x14ac:dyDescent="0.2">
      <c r="A93" s="37">
        <v>83</v>
      </c>
      <c r="B93" s="38">
        <v>5.9560000000000004</v>
      </c>
      <c r="C93" s="38">
        <v>6.7</v>
      </c>
      <c r="D93" s="39">
        <v>17800</v>
      </c>
      <c r="E93" s="39">
        <v>677</v>
      </c>
      <c r="F93" s="40">
        <v>2.66E-3</v>
      </c>
      <c r="G93" s="41">
        <v>4.2320000000000003E-2</v>
      </c>
      <c r="H93" s="39">
        <v>1336</v>
      </c>
      <c r="I93" s="42">
        <v>-19.55</v>
      </c>
      <c r="J93" s="42">
        <v>6.8710000000000004</v>
      </c>
      <c r="K93" s="43">
        <v>-0.86860000000000004</v>
      </c>
      <c r="L93" s="40">
        <v>4.7480000000000001E-2</v>
      </c>
      <c r="M93" s="44">
        <v>-9.544E-4</v>
      </c>
      <c r="N93" s="45">
        <v>2883</v>
      </c>
      <c r="O93" s="46">
        <v>208.98</v>
      </c>
      <c r="P93" s="47">
        <v>9.8109999999999999</v>
      </c>
      <c r="Q93" s="37"/>
      <c r="R93" s="49">
        <v>9</v>
      </c>
      <c r="S93" s="49">
        <v>0.47</v>
      </c>
      <c r="T93" s="49">
        <v>198</v>
      </c>
      <c r="U93" s="49">
        <v>3.8</v>
      </c>
      <c r="V93" s="49">
        <v>2.032</v>
      </c>
      <c r="W93" s="50">
        <v>4.6239999999999997</v>
      </c>
      <c r="X93" s="51">
        <v>-2.639E-2</v>
      </c>
      <c r="Y93" s="52">
        <v>-0.14810000000000001</v>
      </c>
      <c r="Z93" s="53">
        <v>-9.9710000000000007E-3</v>
      </c>
      <c r="AA93" s="54">
        <v>0</v>
      </c>
      <c r="AB93" s="54">
        <v>0</v>
      </c>
      <c r="AC93" s="54">
        <v>0</v>
      </c>
      <c r="AD93" s="54">
        <v>0</v>
      </c>
      <c r="AE93" s="54">
        <v>0</v>
      </c>
      <c r="AF93" s="39">
        <v>762.9</v>
      </c>
      <c r="AG93" s="39">
        <v>722.3</v>
      </c>
    </row>
    <row r="94" spans="1:33" x14ac:dyDescent="0.2">
      <c r="A94" s="37">
        <v>84</v>
      </c>
      <c r="B94" s="38">
        <v>6.1580000000000004</v>
      </c>
      <c r="C94" s="38">
        <v>6.9279999999999999</v>
      </c>
      <c r="D94" s="39">
        <v>17770</v>
      </c>
      <c r="E94" s="39">
        <v>586.29999999999995</v>
      </c>
      <c r="F94" s="40">
        <v>2.8119999999999998E-3</v>
      </c>
      <c r="G94" s="41">
        <v>4.283E-2</v>
      </c>
      <c r="H94" s="39">
        <v>1319</v>
      </c>
      <c r="I94" s="42">
        <v>-19.62</v>
      </c>
      <c r="J94" s="42">
        <v>6.8840000000000003</v>
      </c>
      <c r="K94" s="43">
        <v>-0.86939999999999995</v>
      </c>
      <c r="L94" s="40">
        <v>4.7480000000000001E-2</v>
      </c>
      <c r="M94" s="44">
        <v>-9.5399999999999999E-4</v>
      </c>
      <c r="N94" s="45">
        <v>2869</v>
      </c>
      <c r="O94" s="46">
        <v>209.934</v>
      </c>
      <c r="P94" s="47">
        <v>9.2509999999999994</v>
      </c>
      <c r="Q94" s="37"/>
      <c r="R94" s="49">
        <v>2.3239999999999998</v>
      </c>
      <c r="S94" s="49">
        <v>0.69969999999999999</v>
      </c>
      <c r="T94" s="49">
        <v>216</v>
      </c>
      <c r="U94" s="49">
        <v>1.599</v>
      </c>
      <c r="V94" s="49">
        <v>1.399</v>
      </c>
      <c r="W94" s="50">
        <v>4.6360000000000001</v>
      </c>
      <c r="X94" s="51">
        <v>-2.4219999999999998E-2</v>
      </c>
      <c r="Y94" s="52">
        <v>-0.1477</v>
      </c>
      <c r="Z94" s="53">
        <v>-9.9389999999999999E-3</v>
      </c>
      <c r="AA94" s="54">
        <v>0</v>
      </c>
      <c r="AB94" s="54">
        <v>0</v>
      </c>
      <c r="AC94" s="54">
        <v>0</v>
      </c>
      <c r="AD94" s="54">
        <v>0</v>
      </c>
      <c r="AE94" s="54">
        <v>0</v>
      </c>
      <c r="AF94" s="39">
        <v>765.1</v>
      </c>
      <c r="AG94" s="39">
        <v>725.9</v>
      </c>
    </row>
    <row r="95" spans="1:33" x14ac:dyDescent="0.2">
      <c r="A95" s="37">
        <v>85</v>
      </c>
      <c r="B95" s="38">
        <v>6.2039999999999997</v>
      </c>
      <c r="C95" s="38">
        <v>6.9790000000000001</v>
      </c>
      <c r="D95" s="39">
        <v>17950</v>
      </c>
      <c r="E95" s="39">
        <v>586.29999999999995</v>
      </c>
      <c r="F95" s="40">
        <v>2.7759999999999998E-3</v>
      </c>
      <c r="G95" s="41">
        <v>4.3339999999999997E-2</v>
      </c>
      <c r="H95" s="39">
        <v>1302</v>
      </c>
      <c r="I95" s="42">
        <v>-19.690000000000001</v>
      </c>
      <c r="J95" s="42">
        <v>6.8979999999999997</v>
      </c>
      <c r="K95" s="43">
        <v>-0.87019999999999997</v>
      </c>
      <c r="L95" s="40">
        <v>4.7489999999999997E-2</v>
      </c>
      <c r="M95" s="44">
        <v>-9.5359999999999998E-4</v>
      </c>
      <c r="N95" s="45">
        <v>2869</v>
      </c>
      <c r="O95" s="46">
        <v>209.934</v>
      </c>
      <c r="P95" s="47">
        <v>8</v>
      </c>
      <c r="Q95" s="37" t="s">
        <v>0</v>
      </c>
      <c r="R95" s="49">
        <v>1.9610000000000001</v>
      </c>
      <c r="S95" s="49">
        <v>0.72860000000000003</v>
      </c>
      <c r="T95" s="49">
        <v>223</v>
      </c>
      <c r="U95" s="49">
        <v>1.621</v>
      </c>
      <c r="V95" s="49">
        <v>1.296</v>
      </c>
      <c r="W95" s="50">
        <v>4.6479999999999997</v>
      </c>
      <c r="X95" s="51">
        <v>-2.172E-2</v>
      </c>
      <c r="Y95" s="52">
        <v>-0.14710000000000001</v>
      </c>
      <c r="Z95" s="53">
        <v>-9.9030000000000003E-3</v>
      </c>
      <c r="AA95" s="54">
        <v>0</v>
      </c>
      <c r="AB95" s="54">
        <v>0</v>
      </c>
      <c r="AC95" s="54">
        <v>0</v>
      </c>
      <c r="AD95" s="54">
        <v>0</v>
      </c>
      <c r="AE95" s="54">
        <v>0</v>
      </c>
      <c r="AF95" s="39">
        <v>761.7</v>
      </c>
      <c r="AG95" s="39">
        <v>730.4</v>
      </c>
    </row>
    <row r="96" spans="1:33" x14ac:dyDescent="0.2">
      <c r="A96" s="37">
        <v>86</v>
      </c>
      <c r="B96" s="38">
        <v>6.181</v>
      </c>
      <c r="C96" s="38">
        <v>6.9539999999999997</v>
      </c>
      <c r="D96" s="39">
        <v>18120</v>
      </c>
      <c r="E96" s="39">
        <v>586.29999999999995</v>
      </c>
      <c r="F96" s="40">
        <v>2.748E-3</v>
      </c>
      <c r="G96" s="41">
        <v>4.385E-2</v>
      </c>
      <c r="H96" s="39">
        <v>1289</v>
      </c>
      <c r="I96" s="42">
        <v>-19.760000000000002</v>
      </c>
      <c r="J96" s="42">
        <v>6.9119999999999999</v>
      </c>
      <c r="K96" s="43">
        <v>-0.871</v>
      </c>
      <c r="L96" s="40">
        <v>4.7489999999999997E-2</v>
      </c>
      <c r="M96" s="44">
        <v>-9.5319999999999997E-4</v>
      </c>
      <c r="N96" s="45">
        <v>2714</v>
      </c>
      <c r="O96" s="46">
        <v>221.923</v>
      </c>
      <c r="P96" s="47">
        <v>9.9089999999999994E-3</v>
      </c>
      <c r="Q96" s="37"/>
      <c r="R96" s="49">
        <v>1.75</v>
      </c>
      <c r="S96" s="49">
        <v>0.74270000000000003</v>
      </c>
      <c r="T96" s="49">
        <v>350.1</v>
      </c>
      <c r="U96" s="49">
        <v>0.97889999999999999</v>
      </c>
      <c r="V96" s="49">
        <v>0.55069999999999997</v>
      </c>
      <c r="W96" s="50">
        <v>4.6619999999999999</v>
      </c>
      <c r="X96" s="51">
        <v>-0.1192</v>
      </c>
      <c r="Y96" s="52">
        <v>-0.17519999999999999</v>
      </c>
      <c r="Z96" s="53">
        <v>-1.196E-2</v>
      </c>
      <c r="AA96" s="54">
        <v>4.8220000000000001</v>
      </c>
      <c r="AB96" s="54">
        <v>0.60499999999999998</v>
      </c>
      <c r="AC96" s="54">
        <v>418.3</v>
      </c>
      <c r="AD96" s="54">
        <v>0.83350000000000002</v>
      </c>
      <c r="AE96" s="54">
        <v>0.38650000000000001</v>
      </c>
      <c r="AF96" s="39">
        <v>769</v>
      </c>
      <c r="AG96" s="39">
        <v>733.1</v>
      </c>
    </row>
    <row r="97" spans="1:33" x14ac:dyDescent="0.2">
      <c r="A97" s="37">
        <v>87</v>
      </c>
      <c r="B97" s="38">
        <v>6.9489999999999998</v>
      </c>
      <c r="C97" s="38">
        <v>7.82</v>
      </c>
      <c r="D97" s="39">
        <v>18300</v>
      </c>
      <c r="E97" s="39">
        <v>586.29999999999995</v>
      </c>
      <c r="F97" s="40">
        <v>2.7369999999999998E-3</v>
      </c>
      <c r="G97" s="41">
        <v>4.4359999999999997E-2</v>
      </c>
      <c r="H97" s="39">
        <v>1284</v>
      </c>
      <c r="I97" s="42">
        <v>-19.829999999999998</v>
      </c>
      <c r="J97" s="42">
        <v>6.9260000000000002</v>
      </c>
      <c r="K97" s="43">
        <v>-0.87180000000000002</v>
      </c>
      <c r="L97" s="40">
        <v>4.7500000000000001E-2</v>
      </c>
      <c r="M97" s="44">
        <v>-9.5279999999999996E-4</v>
      </c>
      <c r="N97" s="45">
        <v>2702</v>
      </c>
      <c r="O97" s="46">
        <v>222.90899999999999</v>
      </c>
      <c r="P97" s="47">
        <v>6</v>
      </c>
      <c r="Q97" s="37" t="s">
        <v>0</v>
      </c>
      <c r="R97" s="49">
        <v>10.31</v>
      </c>
      <c r="S97" s="49">
        <v>0.46129999999999999</v>
      </c>
      <c r="T97" s="49">
        <v>261.2</v>
      </c>
      <c r="U97" s="49">
        <v>4.7380000000000004</v>
      </c>
      <c r="V97" s="49">
        <v>0.9899</v>
      </c>
      <c r="W97" s="50">
        <v>4.6900000000000004</v>
      </c>
      <c r="X97" s="51">
        <v>-9.8670000000000008E-3</v>
      </c>
      <c r="Y97" s="52">
        <v>-0.1449</v>
      </c>
      <c r="Z97" s="53">
        <v>-9.7710000000000002E-3</v>
      </c>
      <c r="AA97" s="54">
        <v>0</v>
      </c>
      <c r="AB97" s="54">
        <v>0</v>
      </c>
      <c r="AC97" s="54">
        <v>0</v>
      </c>
      <c r="AD97" s="54">
        <v>0</v>
      </c>
      <c r="AE97" s="54">
        <v>0</v>
      </c>
      <c r="AF97" s="39">
        <v>762.3</v>
      </c>
      <c r="AG97" s="39">
        <v>718</v>
      </c>
    </row>
    <row r="98" spans="1:33" x14ac:dyDescent="0.2">
      <c r="A98" s="37">
        <v>88</v>
      </c>
      <c r="B98" s="38">
        <v>7.5060000000000002</v>
      </c>
      <c r="C98" s="38">
        <v>8.4480000000000004</v>
      </c>
      <c r="D98" s="39">
        <v>18480</v>
      </c>
      <c r="E98" s="39">
        <v>586.29999999999995</v>
      </c>
      <c r="F98" s="40">
        <v>2.7269999999999998E-3</v>
      </c>
      <c r="G98" s="41">
        <v>4.487E-2</v>
      </c>
      <c r="H98" s="39">
        <v>1279</v>
      </c>
      <c r="I98" s="42">
        <v>-19.899999999999999</v>
      </c>
      <c r="J98" s="42">
        <v>6.94</v>
      </c>
      <c r="K98" s="43">
        <v>-0.87260000000000004</v>
      </c>
      <c r="L98" s="40">
        <v>4.7509999999999997E-2</v>
      </c>
      <c r="M98" s="44">
        <v>-9.5239999999999995E-4</v>
      </c>
      <c r="N98" s="45">
        <v>2666</v>
      </c>
      <c r="O98" s="46">
        <v>226.02500000000001</v>
      </c>
      <c r="P98" s="47">
        <v>5.0220000000000002</v>
      </c>
      <c r="Q98" s="37"/>
      <c r="R98" s="49">
        <v>7.9619999999999997</v>
      </c>
      <c r="S98" s="49">
        <v>0.51900000000000002</v>
      </c>
      <c r="T98" s="49">
        <v>235.7</v>
      </c>
      <c r="U98" s="49">
        <v>4.3470000000000004</v>
      </c>
      <c r="V98" s="49">
        <v>1.3129999999999999</v>
      </c>
      <c r="W98" s="50">
        <v>4.7149999999999999</v>
      </c>
      <c r="X98" s="51">
        <v>-2.1129999999999999E-3</v>
      </c>
      <c r="Y98" s="52">
        <v>-0.14349999999999999</v>
      </c>
      <c r="Z98" s="53">
        <v>-9.6889999999999997E-3</v>
      </c>
      <c r="AA98" s="54">
        <v>0</v>
      </c>
      <c r="AB98" s="54">
        <v>0</v>
      </c>
      <c r="AC98" s="54">
        <v>0</v>
      </c>
      <c r="AD98" s="54">
        <v>0</v>
      </c>
      <c r="AE98" s="54">
        <v>0</v>
      </c>
      <c r="AF98" s="39">
        <v>760.1</v>
      </c>
      <c r="AG98" s="39">
        <v>716.8</v>
      </c>
    </row>
    <row r="99" spans="1:33" x14ac:dyDescent="0.2">
      <c r="A99" s="37">
        <v>89</v>
      </c>
      <c r="B99" s="38">
        <v>7.649</v>
      </c>
      <c r="C99" s="38">
        <v>8.609</v>
      </c>
      <c r="D99" s="39">
        <v>18660</v>
      </c>
      <c r="E99" s="39">
        <v>586.29999999999995</v>
      </c>
      <c r="F99" s="40">
        <v>2.6970000000000002E-3</v>
      </c>
      <c r="G99" s="41">
        <v>4.5379999999999997E-2</v>
      </c>
      <c r="H99" s="39">
        <v>1265</v>
      </c>
      <c r="I99" s="42">
        <v>-19.97</v>
      </c>
      <c r="J99" s="42">
        <v>6.9530000000000003</v>
      </c>
      <c r="K99" s="43">
        <v>-0.87329999999999997</v>
      </c>
      <c r="L99" s="40">
        <v>4.7509999999999997E-2</v>
      </c>
      <c r="M99" s="44">
        <v>-9.5200000000000005E-4</v>
      </c>
      <c r="N99" s="45">
        <v>2654</v>
      </c>
      <c r="O99" s="46">
        <v>227.02799999999999</v>
      </c>
      <c r="P99" s="47">
        <v>8</v>
      </c>
      <c r="Q99" s="37" t="s">
        <v>0</v>
      </c>
      <c r="R99" s="49">
        <v>6.2270000000000003</v>
      </c>
      <c r="S99" s="49">
        <v>0.5645</v>
      </c>
      <c r="T99" s="49">
        <v>231.9</v>
      </c>
      <c r="U99" s="49">
        <v>3.9609999999999999</v>
      </c>
      <c r="V99" s="49">
        <v>1.379</v>
      </c>
      <c r="W99" s="50">
        <v>4.7290000000000001</v>
      </c>
      <c r="X99" s="51">
        <v>1.392E-3</v>
      </c>
      <c r="Y99" s="52">
        <v>-0.14280000000000001</v>
      </c>
      <c r="Z99" s="53">
        <v>-9.6439999999999998E-3</v>
      </c>
      <c r="AA99" s="54">
        <v>0</v>
      </c>
      <c r="AB99" s="54">
        <v>0</v>
      </c>
      <c r="AC99" s="54">
        <v>0</v>
      </c>
      <c r="AD99" s="54">
        <v>0</v>
      </c>
      <c r="AE99" s="54">
        <v>0</v>
      </c>
      <c r="AF99" s="39">
        <v>767.9</v>
      </c>
      <c r="AG99" s="39">
        <v>718.9</v>
      </c>
    </row>
    <row r="100" spans="1:33" x14ac:dyDescent="0.2">
      <c r="A100" s="37">
        <v>90</v>
      </c>
      <c r="B100" s="38">
        <v>7.71</v>
      </c>
      <c r="C100" s="38">
        <v>8.6790000000000003</v>
      </c>
      <c r="D100" s="39">
        <v>18830</v>
      </c>
      <c r="E100" s="39">
        <v>586.29999999999995</v>
      </c>
      <c r="F100" s="40">
        <v>2.6410000000000001E-3</v>
      </c>
      <c r="G100" s="41">
        <v>4.589E-2</v>
      </c>
      <c r="H100" s="39">
        <v>1239</v>
      </c>
      <c r="I100" s="42">
        <v>-20.04</v>
      </c>
      <c r="J100" s="42">
        <v>6.9669999999999996</v>
      </c>
      <c r="K100" s="43">
        <v>-0.87409999999999999</v>
      </c>
      <c r="L100" s="40">
        <v>4.752E-2</v>
      </c>
      <c r="M100" s="44">
        <v>-9.5160000000000004E-4</v>
      </c>
      <c r="N100" s="45">
        <v>2597</v>
      </c>
      <c r="O100" s="46">
        <v>232.03800000000001</v>
      </c>
      <c r="P100" s="47">
        <v>11.66</v>
      </c>
      <c r="Q100" s="37"/>
      <c r="R100" s="49">
        <v>5.2460000000000004</v>
      </c>
      <c r="S100" s="49">
        <v>0.59470000000000001</v>
      </c>
      <c r="T100" s="49">
        <v>228.6</v>
      </c>
      <c r="U100" s="49">
        <v>4.0270000000000001</v>
      </c>
      <c r="V100" s="49">
        <v>1.423</v>
      </c>
      <c r="W100" s="50">
        <v>4.7290000000000001</v>
      </c>
      <c r="X100" s="51">
        <v>-5.9829999999999996E-4</v>
      </c>
      <c r="Y100" s="52">
        <v>-0.14299999999999999</v>
      </c>
      <c r="Z100" s="53">
        <v>-9.6469999999999993E-3</v>
      </c>
      <c r="AA100" s="54">
        <v>0</v>
      </c>
      <c r="AB100" s="54">
        <v>0</v>
      </c>
      <c r="AC100" s="54">
        <v>0</v>
      </c>
      <c r="AD100" s="54">
        <v>0</v>
      </c>
      <c r="AE100" s="54">
        <v>0</v>
      </c>
      <c r="AF100" s="39">
        <v>776.4</v>
      </c>
      <c r="AG100" s="39">
        <v>722.1</v>
      </c>
    </row>
    <row r="101" spans="1:33" x14ac:dyDescent="0.2">
      <c r="A101" s="37">
        <v>91</v>
      </c>
      <c r="B101" s="38">
        <v>7.407</v>
      </c>
      <c r="C101" s="38">
        <v>8.3360000000000003</v>
      </c>
      <c r="D101" s="39">
        <v>19010</v>
      </c>
      <c r="E101" s="39">
        <v>586.29999999999995</v>
      </c>
      <c r="F101" s="40">
        <v>2.6029999999999998E-3</v>
      </c>
      <c r="G101" s="41">
        <v>4.6399999999999997E-2</v>
      </c>
      <c r="H101" s="39">
        <v>1221</v>
      </c>
      <c r="I101" s="42">
        <v>-20.11</v>
      </c>
      <c r="J101" s="42">
        <v>6.9809999999999999</v>
      </c>
      <c r="K101" s="43">
        <v>-0.87490000000000001</v>
      </c>
      <c r="L101" s="40">
        <v>4.752E-2</v>
      </c>
      <c r="M101" s="44">
        <v>-9.5120000000000003E-4</v>
      </c>
      <c r="N101" s="45">
        <v>2608</v>
      </c>
      <c r="O101" s="46">
        <v>231.036</v>
      </c>
      <c r="P101" s="47">
        <v>15.4</v>
      </c>
      <c r="Q101" s="37"/>
      <c r="R101" s="49">
        <v>5.4080000000000004</v>
      </c>
      <c r="S101" s="49">
        <v>0.58109999999999995</v>
      </c>
      <c r="T101" s="49">
        <v>235.7</v>
      </c>
      <c r="U101" s="49">
        <v>3.9609999999999999</v>
      </c>
      <c r="V101" s="49">
        <v>1.3580000000000001</v>
      </c>
      <c r="W101" s="50">
        <v>4.7380000000000004</v>
      </c>
      <c r="X101" s="51">
        <v>1.075E-3</v>
      </c>
      <c r="Y101" s="52">
        <v>-0.14249999999999999</v>
      </c>
      <c r="Z101" s="53">
        <v>-9.6179999999999998E-3</v>
      </c>
      <c r="AA101" s="54">
        <v>0</v>
      </c>
      <c r="AB101" s="54">
        <v>0</v>
      </c>
      <c r="AC101" s="54">
        <v>0</v>
      </c>
      <c r="AD101" s="54">
        <v>0</v>
      </c>
      <c r="AE101" s="54">
        <v>0</v>
      </c>
      <c r="AF101" s="39">
        <v>807</v>
      </c>
      <c r="AG101" s="39">
        <v>736.4</v>
      </c>
    </row>
    <row r="102" spans="1:33" x14ac:dyDescent="0.2">
      <c r="A102" s="37">
        <v>92</v>
      </c>
      <c r="B102" s="38">
        <v>7.29</v>
      </c>
      <c r="C102" s="38">
        <v>8.2040000000000006</v>
      </c>
      <c r="D102" s="39">
        <v>19180</v>
      </c>
      <c r="E102" s="39">
        <v>586.29999999999995</v>
      </c>
      <c r="F102" s="40">
        <v>2.5730000000000002E-3</v>
      </c>
      <c r="G102" s="41">
        <v>4.691E-2</v>
      </c>
      <c r="H102" s="39">
        <v>1207</v>
      </c>
      <c r="I102" s="42">
        <v>-20.18</v>
      </c>
      <c r="J102" s="42">
        <v>6.9950000000000001</v>
      </c>
      <c r="K102" s="43">
        <v>-0.87570000000000003</v>
      </c>
      <c r="L102" s="40">
        <v>4.7530000000000003E-2</v>
      </c>
      <c r="M102" s="44">
        <v>-9.5080000000000002E-4</v>
      </c>
      <c r="N102" s="45">
        <v>2531</v>
      </c>
      <c r="O102" s="46">
        <v>238.029</v>
      </c>
      <c r="P102" s="47">
        <v>19.04</v>
      </c>
      <c r="Q102" s="37"/>
      <c r="R102" s="49">
        <v>5.218</v>
      </c>
      <c r="S102" s="49">
        <v>0.58279999999999998</v>
      </c>
      <c r="T102" s="49">
        <v>245</v>
      </c>
      <c r="U102" s="49">
        <v>3.8380000000000001</v>
      </c>
      <c r="V102" s="49">
        <v>1.25</v>
      </c>
      <c r="W102" s="50">
        <v>4.7510000000000003</v>
      </c>
      <c r="X102" s="51">
        <v>4.2440000000000004E-3</v>
      </c>
      <c r="Y102" s="52">
        <v>-0.1419</v>
      </c>
      <c r="Z102" s="53">
        <v>-9.5759999999999994E-3</v>
      </c>
      <c r="AA102" s="54">
        <v>0</v>
      </c>
      <c r="AB102" s="54">
        <v>0</v>
      </c>
      <c r="AC102" s="54">
        <v>0</v>
      </c>
      <c r="AD102" s="54">
        <v>0</v>
      </c>
      <c r="AE102" s="54">
        <v>0</v>
      </c>
      <c r="AF102" s="39">
        <v>808</v>
      </c>
      <c r="AG102" s="39">
        <v>746</v>
      </c>
    </row>
    <row r="161" spans="42:42" x14ac:dyDescent="0.2">
      <c r="AP161" s="24"/>
    </row>
  </sheetData>
  <sheetProtection sheet="1"/>
  <phoneticPr fontId="0" type="noConversion"/>
  <pageMargins left="0.75" right="0.75" top="1" bottom="1" header="0.5" footer="0.5"/>
  <pageSetup orientation="portrait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14</vt:i4>
      </vt:variant>
    </vt:vector>
  </HeadingPairs>
  <TitlesOfParts>
    <vt:vector size="19" baseType="lpstr">
      <vt:lpstr>Thick Water</vt:lpstr>
      <vt:lpstr>Sheet1</vt:lpstr>
      <vt:lpstr>Stopping Power</vt:lpstr>
      <vt:lpstr>Compounds</vt:lpstr>
      <vt:lpstr>Ziegler Data</vt:lpstr>
      <vt:lpstr>Ah</vt:lpstr>
      <vt:lpstr>BGHe</vt:lpstr>
      <vt:lpstr>BHe</vt:lpstr>
      <vt:lpstr>CIpot</vt:lpstr>
      <vt:lpstr>Compound</vt:lpstr>
      <vt:lpstr>Element</vt:lpstr>
      <vt:lpstr>Gas</vt:lpstr>
      <vt:lpstr>Hcoeff</vt:lpstr>
      <vt:lpstr>Mproj2</vt:lpstr>
      <vt:lpstr>Precision2</vt:lpstr>
      <vt:lpstr>'Thick Water'!Print_Area</vt:lpstr>
      <vt:lpstr>TargetID2</vt:lpstr>
      <vt:lpstr>Thickness2</vt:lpstr>
      <vt:lpstr>Zproj2</vt:lpstr>
    </vt:vector>
  </TitlesOfParts>
  <Company>Los Alamos National Labortory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Meiring Nortier</dc:creator>
  <cp:lastModifiedBy>Andrew Steven Voyles</cp:lastModifiedBy>
  <cp:lastPrinted>2014-05-06T13:17:14Z</cp:lastPrinted>
  <dcterms:created xsi:type="dcterms:W3CDTF">2002-02-19T23:32:22Z</dcterms:created>
  <dcterms:modified xsi:type="dcterms:W3CDTF">2017-07-03T20:35:05Z</dcterms:modified>
</cp:coreProperties>
</file>